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23acc3b1d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ịa điểm" sheetId="1" r:id="Rad9ec91eadfe4cce"/>
    <x:sheet xmlns:r="http://schemas.openxmlformats.org/officeDocument/2006/relationships" name="Nhân sự lịch ca" sheetId="2" r:id="Ra4f2b097a4ae4c76"/>
    <x:sheet xmlns:r="http://schemas.openxmlformats.org/officeDocument/2006/relationships" name="Điện nước" sheetId="3" r:id="Rcebc6f9ab7b0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56D"/>
      <x:name val="Carlito"/>
    </x:font>
    <x:font>
      <x:b/>
      <x:sz val="11"/>
      <x:color rgb="FFFFFFFF"/>
      <x:name val="Carlito"/>
    </x:font>
    <x:font>
      <x:sz val="10"/>
      <x:color rgb="FF1F2923"/>
      <x:name val="Carlito"/>
    </x:font>
    <x:font>
      <x:sz val="10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F4F0E6"/>
      </x:patternFill>
    </x:fill>
    <x:fill>
      <x:patternFill patternType="solid">
        <x:fgColor rgb="FF2F6B4F"/>
      </x:patternFill>
    </x:fill>
  </x:fills>
  <x:borders count="13">
    <x:border/>
    <x:border>
      <x:right style="thin">
        <x:color rgb="FF8DA89A"/>
      </x:right>
    </x:border>
    <x:border>
      <x:left style="thin">
        <x:color rgb="FF8DA89A"/>
      </x:left>
      <x:right style="thin">
        <x:color rgb="FF8DA89A"/>
      </x:right>
    </x:border>
    <x:border>
      <x:left style="thin">
        <x:color rgb="FF8DA89A"/>
      </x:left>
    </x:border>
    <x:border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right style="thin">
        <x:color rgb="FFD6DDD8"/>
      </x:right>
      <x:top style="thin">
        <x:color rgb="FFD6DDD8"/>
      </x:top>
    </x:border>
    <x:border>
      <x:left style="thin">
        <x:color rgb="FFD6DDD8"/>
      </x:left>
      <x:top style="thin">
        <x:color rgb="FFD6DDD8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3aabbc3a54e9d" /><Relationship Type="http://schemas.openxmlformats.org/officeDocument/2006/relationships/theme" Target="/xl/theme/theme1.xml" Id="Rd3f91be4a1d746ac" /><Relationship Type="http://schemas.openxmlformats.org/officeDocument/2006/relationships/sharedStrings" Target="/xl/sharedStrings.xml" Id="R15d571f741774063" /><Relationship Type="http://schemas.openxmlformats.org/officeDocument/2006/relationships/worksheet" Target="/xl/worksheets/sheet1.xml" Id="Rad9ec91eadfe4cce" /><Relationship Type="http://schemas.openxmlformats.org/officeDocument/2006/relationships/worksheet" Target="/xl/worksheets/sheet2.xml" Id="Ra4f2b097a4ae4c76" /><Relationship Type="http://schemas.openxmlformats.org/officeDocument/2006/relationships/worksheet" Target="/xl/worksheets/sheet3.xml" Id="Rcebc6f9ab7b0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14" hidden="0" customWidth="1"/>
    <x:col min="4" max="4" width="32" hidden="0" customWidth="1"/>
  </x:cols>
  <x:sheetData>
    <x:row r="1" ht="32" customHeight="1">
      <x:c r="A1" s="3" t="str">
        <x:v>ĐỊA ĐIỂM VÀ VẬN HÀNH - GÓC HỒ COFFEE</x:v>
      </x:c>
    </x:row>
    <x:row r="2" ht="25" customHeight="1">
      <x:c r="A2" s="7" t="str">
        <x:v>DỮ LIỆU MÔ PHỎNG - KHÔNG CÓ GIÁ TRỊ PHÁP LÝ</x:v>
      </x:c>
    </x:row>
    <x:row r="4" ht="28" customHeight="1">
      <x:c r="A4" s="16" t="str">
        <x:v>Trường</x:v>
      </x:c>
      <x:c r="B4" s="17" t="str">
        <x:v>Giá trị</x:v>
      </x:c>
      <x:c r="C4" s="17" t="str">
        <x:v>Đơn vị</x:v>
      </x:c>
      <x:c r="D4" s="18" t="str">
        <x:v>Ghi chú</x:v>
      </x:c>
    </x:row>
    <x:row r="5">
      <x:c r="A5" s="29" t="str">
        <x:v>Địa chỉ</x:v>
      </x:c>
      <x:c r="B5" s="39" t="str">
        <x:v>Số 12 phố Lê Thái Tổ, phường Hoàn Kiếm, thành phố Hà Nội</x:v>
      </x:c>
      <x:c r="C5" s="30" t="str"/>
      <x:c r="D5" s="31" t="str">
        <x:v>Địa chỉ mô phỏng gần Hồ Hoàn Kiếm</x:v>
      </x:c>
    </x:row>
    <x:row r="6">
      <x:c r="A6" s="32" t="str">
        <x:v>Vĩ độ</x:v>
      </x:c>
      <x:c r="B6" s="40" t="n">
        <x:v>21.03023</x:v>
      </x:c>
      <x:c r="C6" s="33" t="str">
        <x:v>độ</x:v>
      </x:c>
      <x:c r="D6" s="34" t="str">
        <x:v>Tọa độ xấp xỉ cho dữ liệu demo</x:v>
      </x:c>
    </x:row>
    <x:row r="7">
      <x:c r="A7" s="32" t="str">
        <x:v>Kinh độ</x:v>
      </x:c>
      <x:c r="B7" s="40" t="n">
        <x:v>105.85092</x:v>
      </x:c>
      <x:c r="C7" s="33" t="str">
        <x:v>độ</x:v>
      </x:c>
      <x:c r="D7" s="34" t="str">
        <x:v>Tọa độ xấp xỉ cho dữ liệu demo</x:v>
      </x:c>
    </x:row>
    <x:row r="8">
      <x:c r="A8" s="32" t="str">
        <x:v>Diện tích</x:v>
      </x:c>
      <x:c r="B8" s="40" t="n">
        <x:v>85</x:v>
      </x:c>
      <x:c r="C8" s="33" t="str">
        <x:v>m2</x:v>
      </x:c>
      <x:c r="D8" s="34" t="str">
        <x:v>Một tầng</x:v>
      </x:c>
    </x:row>
    <x:row r="9">
      <x:c r="A9" s="32" t="str">
        <x:v>Số chỗ ngồi</x:v>
      </x:c>
      <x:c r="B9" s="40" t="n">
        <x:v>42</x:v>
      </x:c>
      <x:c r="C9" s="33" t="str">
        <x:v>chỗ</x:v>
      </x:c>
      <x:c r="D9" s="34" t="str">
        <x:v>Trong nhà và mặt tiền</x:v>
      </x:c>
    </x:row>
    <x:row r="10">
      <x:c r="A10" s="32" t="str">
        <x:v>Giá thuê/tháng</x:v>
      </x:c>
      <x:c r="B10" s="41" t="n">
        <x:v>70000000</x:v>
      </x:c>
      <x:c r="C10" s="33" t="str">
        <x:v>VND</x:v>
      </x:c>
      <x:c r="D10" s="34" t="str">
        <x:v>Thanh toán đầu tháng</x:v>
      </x:c>
    </x:row>
    <x:row r="11">
      <x:c r="A11" s="32" t="str">
        <x:v>Tiền đặt cọc</x:v>
      </x:c>
      <x:c r="B11" s="41" t="n">
        <x:v>210000000</x:v>
      </x:c>
      <x:c r="C11" s="33" t="str">
        <x:v>VND</x:v>
      </x:c>
      <x:c r="D11" s="34" t="str">
        <x:v>3 tháng tiền thuê</x:v>
      </x:c>
    </x:row>
    <x:row r="12">
      <x:c r="A12" s="32" t="str">
        <x:v>Giờ hoạt động</x:v>
      </x:c>
      <x:c r="B12" s="40" t="str">
        <x:v>07:00-22:00</x:v>
      </x:c>
      <x:c r="C12" s="33" t="str"/>
      <x:c r="D12" s="34" t="str">
        <x:v>Mỗi ngày</x:v>
      </x:c>
    </x:row>
    <x:row r="13">
      <x:c r="A13" s="32" t="str">
        <x:v>Bán kính giao hàng</x:v>
      </x:c>
      <x:c r="B13" s="40" t="n">
        <x:v>4</x:v>
      </x:c>
      <x:c r="C13" s="33" t="str">
        <x:v>km</x:v>
      </x:c>
      <x:c r="D13" s="34" t="str">
        <x:v>Thông tin mô phỏng</x:v>
      </x:c>
    </x:row>
    <x:row r="14">
      <x:c r="A14" s="32" t="str">
        <x:v>Nhân sự</x:v>
      </x:c>
      <x:c r="B14" s="40" t="n">
        <x:v>8</x:v>
      </x:c>
      <x:c r="C14" s="33" t="str">
        <x:v>người</x:v>
      </x:c>
      <x:c r="D14" s="34" t="str">
        <x:v>Bao gồm quản lý</x:v>
      </x:c>
    </x:row>
    <x:row r="15">
      <x:c r="A15" s="35" t="str">
        <x:v>Chỗ để xe</x:v>
      </x:c>
      <x:c r="B15" s="42" t="str">
        <x:v>Không có bãi riêng</x:v>
      </x:c>
      <x:c r="C15" s="36" t="str"/>
      <x:c r="D15" s="37" t="str">
        <x:v>Dùng điểm gửi xe lân cận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</x:cols>
  <x:sheetData>
    <x:row r="1" ht="32" customHeight="1">
      <x:c r="A1" s="3" t="str">
        <x:v>NHÂN SỰ VÀ LỊCH CA TUẦN MẪU</x:v>
      </x:c>
    </x:row>
    <x:row r="2" ht="25" customHeight="1">
      <x:c r="A2" s="7" t="str">
        <x:v>DỮ LIỆU MÔ PHỎNG - KHÔNG CÓ GIÁ TRỊ PHÁP LÝ</x:v>
      </x:c>
    </x:row>
    <x:row r="4" ht="28" customHeight="1">
      <x:c r="A4" s="16" t="str">
        <x:v>Mã NV</x:v>
      </x:c>
      <x:c r="B4" s="17" t="str">
        <x:v>Tên mô phỏng</x:v>
      </x:c>
      <x:c r="C4" s="18" t="str">
        <x:v>Vai trò</x:v>
      </x:c>
    </x:row>
    <x:row r="5">
      <x:c r="A5" s="29" t="str">
        <x:v>NV-01</x:v>
      </x:c>
      <x:c r="B5" s="30" t="str">
        <x:v>Trần Thu Hà</x:v>
      </x:c>
      <x:c r="C5" s="31" t="str">
        <x:v>Quản lý</x:v>
      </x:c>
    </x:row>
    <x:row r="6">
      <x:c r="A6" s="32" t="str">
        <x:v>NV-02</x:v>
      </x:c>
      <x:c r="B6" s="33" t="str">
        <x:v>Lê Hoàng Nam</x:v>
      </x:c>
      <x:c r="C6" s="34" t="str">
        <x:v>Barista</x:v>
      </x:c>
    </x:row>
    <x:row r="7">
      <x:c r="A7" s="32" t="str">
        <x:v>NV-03</x:v>
      </x:c>
      <x:c r="B7" s="33" t="str">
        <x:v>Phạm Mai Anh</x:v>
      </x:c>
      <x:c r="C7" s="34" t="str">
        <x:v>Barista</x:v>
      </x:c>
    </x:row>
    <x:row r="8">
      <x:c r="A8" s="32" t="str">
        <x:v>NV-04</x:v>
      </x:c>
      <x:c r="B8" s="33" t="str">
        <x:v>Vũ Đức Minh</x:v>
      </x:c>
      <x:c r="C8" s="34" t="str">
        <x:v>Barista</x:v>
      </x:c>
    </x:row>
    <x:row r="9">
      <x:c r="A9" s="32" t="str">
        <x:v>NV-05</x:v>
      </x:c>
      <x:c r="B9" s="33" t="str">
        <x:v>Ngô Khánh Linh</x:v>
      </x:c>
      <x:c r="C9" s="34" t="str">
        <x:v>Phục vụ</x:v>
      </x:c>
    </x:row>
    <x:row r="10">
      <x:c r="A10" s="32" t="str">
        <x:v>NV-06</x:v>
      </x:c>
      <x:c r="B10" s="33" t="str">
        <x:v>Đỗ Quang Huy</x:v>
      </x:c>
      <x:c r="C10" s="34" t="str">
        <x:v>Phục vụ</x:v>
      </x:c>
    </x:row>
    <x:row r="11">
      <x:c r="A11" s="32" t="str">
        <x:v>NV-07</x:v>
      </x:c>
      <x:c r="B11" s="33" t="str">
        <x:v>Bùi Ngọc Lan</x:v>
      </x:c>
      <x:c r="C11" s="34" t="str">
        <x:v>Thu ngân</x:v>
      </x:c>
    </x:row>
    <x:row r="12">
      <x:c r="A12" s="35" t="str">
        <x:v>NV-08</x:v>
      </x:c>
      <x:c r="B12" s="36" t="str">
        <x:v>Nguyễn Tuấn Kiệt</x:v>
      </x:c>
      <x:c r="C12" s="37" t="str">
        <x:v>Phục vụ</x:v>
      </x:c>
    </x:row>
    <x:row r="14" ht="28" customHeight="1">
      <x:c r="A14" s="16" t="str">
        <x:v>Ngày</x:v>
      </x:c>
      <x:c r="B14" s="17" t="str">
        <x:v>Ca sáng 07:00-15:00</x:v>
      </x:c>
      <x:c r="C14" s="18" t="str">
        <x:v>Ca chiều 14:00-22:00</x:v>
      </x:c>
    </x:row>
    <x:row r="15">
      <x:c r="A15" s="29" t="str">
        <x:v>Thứ Hai</x:v>
      </x:c>
      <x:c r="B15" s="30" t="str">
        <x:v>NV-01, NV-02, NV-05, NV-07</x:v>
      </x:c>
      <x:c r="C15" s="31" t="str">
        <x:v>NV-03, NV-04, NV-06, NV-08</x:v>
      </x:c>
    </x:row>
    <x:row r="16">
      <x:c r="A16" s="32" t="str">
        <x:v>Thứ Ba</x:v>
      </x:c>
      <x:c r="B16" s="33" t="str">
        <x:v>NV-01, NV-03, NV-05, NV-07</x:v>
      </x:c>
      <x:c r="C16" s="34" t="str">
        <x:v>NV-02, NV-04, NV-06, NV-08</x:v>
      </x:c>
    </x:row>
    <x:row r="17">
      <x:c r="A17" s="32" t="str">
        <x:v>Thứ Tư</x:v>
      </x:c>
      <x:c r="B17" s="33" t="str">
        <x:v>NV-01, NV-02, NV-06, NV-07</x:v>
      </x:c>
      <x:c r="C17" s="34" t="str">
        <x:v>NV-03, NV-04, NV-05, NV-08</x:v>
      </x:c>
    </x:row>
    <x:row r="18">
      <x:c r="A18" s="32" t="str">
        <x:v>Thứ Năm</x:v>
      </x:c>
      <x:c r="B18" s="33" t="str">
        <x:v>NV-01, NV-03, NV-05, NV-07</x:v>
      </x:c>
      <x:c r="C18" s="34" t="str">
        <x:v>NV-02, NV-04, NV-06, NV-08</x:v>
      </x:c>
    </x:row>
    <x:row r="19">
      <x:c r="A19" s="32" t="str">
        <x:v>Thứ Sáu</x:v>
      </x:c>
      <x:c r="B19" s="33" t="str">
        <x:v>NV-01, NV-02, NV-05, NV-07</x:v>
      </x:c>
      <x:c r="C19" s="34" t="str">
        <x:v>NV-03, NV-04, NV-06, NV-08</x:v>
      </x:c>
    </x:row>
    <x:row r="20">
      <x:c r="A20" s="32" t="str">
        <x:v>Thứ Bảy</x:v>
      </x:c>
      <x:c r="B20" s="33" t="str">
        <x:v>NV-01, NV-02, NV-03, NV-05, NV-07</x:v>
      </x:c>
      <x:c r="C20" s="34" t="str">
        <x:v>NV-04, NV-06, NV-08</x:v>
      </x:c>
    </x:row>
    <x:row r="21">
      <x:c r="A21" s="35" t="str">
        <x:v>Chủ Nhật</x:v>
      </x:c>
      <x:c r="B21" s="36" t="str">
        <x:v>NV-01, NV-03, NV-04, NV-06, NV-07</x:v>
      </x:c>
      <x:c r="C21" s="37" t="str">
        <x:v>NV-02, NV-05, NV-08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CHI PHÍ ĐIỆN NƯỚC VÀ INTERNET</x:v>
      </x:c>
    </x:row>
    <x:row r="2" ht="25" customHeight="1">
      <x:c r="A2" s="7" t="str">
        <x:v>Các thành phần và VAT được tính bằng công thức.</x:v>
      </x:c>
    </x:row>
    <x:row r="4" ht="28" customHeight="1">
      <x:c r="A4" s="16" t="str">
        <x:v>Tháng</x:v>
      </x:c>
      <x:c r="B4" s="17" t="str">
        <x:v>Điện</x:v>
      </x:c>
      <x:c r="C4" s="17" t="str">
        <x:v>Nước</x:v>
      </x:c>
      <x:c r="D4" s="17" t="str">
        <x:v>Internet</x:v>
      </x:c>
      <x:c r="E4" s="17" t="str">
        <x:v>Trước VAT</x:v>
      </x:c>
      <x:c r="F4" s="17" t="str">
        <x:v>VAT %</x:v>
      </x:c>
      <x:c r="G4" s="17" t="str">
        <x:v>VAT</x:v>
      </x:c>
      <x:c r="H4" s="18" t="str">
        <x:v>Tổng thanh toán</x:v>
      </x:c>
    </x:row>
    <x:row r="5">
      <x:c r="A5" s="29" t="str">
        <x:v>2026-04</x:v>
      </x:c>
      <x:c r="B5" s="43" t="n">
        <x:v>9600000</x:v>
      </x:c>
      <x:c r="C5" s="43" t="n">
        <x:v>2133000</x:v>
      </x:c>
      <x:c r="D5" s="43" t="n">
        <x:v>1600000</x:v>
      </x:c>
      <x:c r="E5" s="43" t="n">
        <x:f>SUM(B5:D5)</x:f>
        <x:v>13333000</x:v>
      </x:c>
      <x:c r="F5" s="45" t="n">
        <x:v>0.1</x:v>
      </x:c>
      <x:c r="G5" s="43" t="n">
        <x:f>E5*F5</x:f>
        <x:v>1333300</x:v>
      </x:c>
      <x:c r="H5" s="48" t="n">
        <x:f>E5+G5</x:f>
        <x:v>14666300</x:v>
      </x:c>
    </x:row>
    <x:row r="6">
      <x:c r="A6" s="32" t="str">
        <x:v>2026-05</x:v>
      </x:c>
      <x:c r="B6" s="38" t="n">
        <x:v>9369000</x:v>
      </x:c>
      <x:c r="C6" s="38" t="n">
        <x:v>2082000</x:v>
      </x:c>
      <x:c r="D6" s="38" t="n">
        <x:v>1561000</x:v>
      </x:c>
      <x:c r="E6" s="38" t="n">
        <x:f>SUM(B6:D6)</x:f>
        <x:v>13012000</x:v>
      </x:c>
      <x:c r="F6" s="46" t="n">
        <x:v>0.1</x:v>
      </x:c>
      <x:c r="G6" s="38" t="n">
        <x:f>E6*F6</x:f>
        <x:v>1301200</x:v>
      </x:c>
      <x:c r="H6" s="49" t="n">
        <x:f>E6+G6</x:f>
        <x:v>14313200</x:v>
      </x:c>
    </x:row>
    <x:row r="7">
      <x:c r="A7" s="35" t="str">
        <x:v>2026-06</x:v>
      </x:c>
      <x:c r="B7" s="44" t="n">
        <x:v>8943000</x:v>
      </x:c>
      <x:c r="C7" s="44" t="n">
        <x:v>1987000</x:v>
      </x:c>
      <x:c r="D7" s="44" t="n">
        <x:v>1491000</x:v>
      </x:c>
      <x:c r="E7" s="44" t="n">
        <x:f>SUM(B7:D7)</x:f>
        <x:v>12421000</x:v>
      </x:c>
      <x:c r="F7" s="47" t="n">
        <x:v>0.1</x:v>
      </x:c>
      <x:c r="G7" s="44" t="n">
        <x:f>E7*F7</x:f>
        <x:v>1242100</x:v>
      </x:c>
      <x:c r="H7" s="50" t="n">
        <x:f>E7+G7</x:f>
        <x:v>13663100</x:v>
      </x:c>
    </x:row>
  </x:sheetData>
  <x:mergeCells>
    <x:mergeCell ref="A1:H1"/>
    <x:mergeCell ref="A2:H2"/>
  </x:mergeCells>
  <x:pageMargins left="0.7" right="0.7" top="0.75" bottom="0.75" header="0.3" footer="0.3"/>
</x:worksheet>
</file>