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21e64898b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óm tắt" sheetId="1" r:id="R8938cea2d3f240ed"/>
    <x:sheet xmlns:r="http://schemas.openxmlformats.org/officeDocument/2006/relationships" name="Sổ thu chi" sheetId="2" r:id="R6212de1d49c94135"/>
    <x:sheet xmlns:r="http://schemas.openxmlformats.org/officeDocument/2006/relationships" name="Kiểm tra" sheetId="3" r:id="Ra7c6c3614bba4c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8756D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sz val="10"/>
      <x:color rgb="FF1F2923"/>
      <x:name val="Carlito"/>
    </x:font>
    <x:font>
      <x:sz val="10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2B"/>
      </x:patternFill>
    </x:fill>
    <x:fill>
      <x:patternFill patternType="solid">
        <x:fgColor rgb="FFF4F0E6"/>
      </x:patternFill>
    </x:fill>
    <x:fill>
      <x:patternFill patternType="solid">
        <x:fgColor rgb="FF2F6B4F"/>
      </x:patternFill>
    </x:fill>
  </x:fills>
  <x:borders count="17">
    <x:border/>
    <x:border>
      <x:right style="thin">
        <x:color rgb="FF8DA89A"/>
      </x:right>
    </x:border>
    <x:border>
      <x:left style="thin">
        <x:color rgb="FF8DA89A"/>
      </x:left>
    </x:border>
    <x:border>
      <x:right style="thin">
        <x:color rgb="FFD6DDD8"/>
      </x:right>
      <x:bottom style="thin">
        <x:color rgb="FFD6DDD8"/>
      </x:bottom>
    </x:border>
    <x:border>
      <x:left style="thin">
        <x:color rgb="FFD6DDD8"/>
      </x:left>
      <x:right style="thin">
        <x:color rgb="FF8DA89A"/>
      </x:right>
      <x:bottom style="thin">
        <x:color rgb="FFD6DDD8"/>
      </x:bottom>
    </x:border>
    <x:border>
      <x:right style="thin">
        <x:color rgb="FFD6DDD8"/>
      </x:right>
      <x:top style="thin">
        <x:color rgb="FFD6DDD8"/>
      </x:top>
      <x:bottom style="thin">
        <x:color rgb="FFD6DDD8"/>
      </x:bottom>
    </x:border>
    <x:border>
      <x:left style="thin">
        <x:color rgb="FFD6DDD8"/>
      </x:left>
      <x:right style="thin">
        <x:color rgb="FF8DA89A"/>
      </x:right>
      <x:top style="thin">
        <x:color rgb="FFD6DDD8"/>
      </x:top>
      <x:bottom style="thin">
        <x:color rgb="FFD6DDD8"/>
      </x:bottom>
    </x:border>
    <x:border>
      <x:right style="thin">
        <x:color rgb="FFD6DDD8"/>
      </x:right>
      <x:top style="thin">
        <x:color rgb="FFD6DDD8"/>
      </x:top>
    </x:border>
    <x:border>
      <x:left style="thin">
        <x:color rgb="FFD6DDD8"/>
      </x:left>
      <x:right style="thin">
        <x:color rgb="FF8DA89A"/>
      </x:right>
      <x:top style="thin">
        <x:color rgb="FFD6DDD8"/>
      </x:top>
    </x:border>
    <x:border>
      <x:left style="thin">
        <x:color rgb="FF8DA89A"/>
      </x:left>
      <x:right style="thin">
        <x:color rgb="FF8DA89A"/>
      </x:right>
    </x:border>
    <x:border>
      <x:bottom style="double">
        <x:color rgb="FF173B2B"/>
      </x:bottom>
    </x:border>
    <x:border>
      <x:left style="thin">
        <x:color rgb="FFD6DDD8"/>
      </x:left>
      <x:right style="thin">
        <x:color rgb="FFD6DDD8"/>
      </x:right>
      <x:bottom style="thin">
        <x:color rgb="FFD6DDD8"/>
      </x:bottom>
    </x:border>
    <x:border>
      <x:left style="thin">
        <x:color rgb="FFD6DDD8"/>
      </x:left>
      <x:bottom style="thin">
        <x:color rgb="FFD6DDD8"/>
      </x:bottom>
    </x:border>
    <x:border>
      <x:left style="thin">
        <x:color rgb="FFD6DDD8"/>
      </x:left>
      <x:right style="thin">
        <x:color rgb="FFD6DDD8"/>
      </x:right>
      <x:top style="thin">
        <x:color rgb="FFD6DDD8"/>
      </x:top>
      <x:bottom style="thin">
        <x:color rgb="FFD6DDD8"/>
      </x:bottom>
    </x:border>
    <x:border>
      <x:left style="thin">
        <x:color rgb="FFD6DDD8"/>
      </x:left>
      <x:top style="thin">
        <x:color rgb="FFD6DDD8"/>
      </x:top>
      <x:bottom style="thin">
        <x:color rgb="FFD6DDD8"/>
      </x:bottom>
    </x:border>
    <x:border>
      <x:left style="thin">
        <x:color rgb="FFD6DDD8"/>
      </x:left>
      <x:right style="thin">
        <x:color rgb="FFD6DDD8"/>
      </x:right>
      <x:top style="thin">
        <x:color rgb="FFD6DDD8"/>
      </x:top>
    </x:border>
    <x:border>
      <x:left style="thin">
        <x:color rgb="FFD6DDD8"/>
      </x:left>
      <x:top style="thin">
        <x:color rgb="FFD6DDD8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200" fontId="4" fillId="0" borderId="6" xfId="0" applyNumberFormat="1" applyFont="1" applyFill="1" applyBorder="1"/>
    <x:xf numFmtId="200" fontId="5" fillId="0" borderId="6" xfId="0" applyNumberFormat="1" applyFont="1" applyFill="1" applyBorder="1"/>
    <x:xf numFmtId="0" fontId="0" fillId="0" borderId="7" xfId="0" applyNumberFormat="1" applyFont="1" applyFill="1" applyBorder="1"/>
    <x:xf numFmtId="0" fontId="5" fillId="0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0" borderId="10" xfId="0" applyNumberFormat="1" applyFont="1" applyFill="1" applyBorder="1"/>
    <x:xf numFmtId="200" fontId="6" fillId="0" borderId="10" xfId="0" applyNumberFormat="1" applyFont="1" applyFill="1" applyBorder="1"/>
    <x:xf numFmtId="0" fontId="7" fillId="0" borderId="0" xfId="0" applyNumberFormat="1" applyFont="1" applyFill="1" applyBorder="1"/>
    <x:xf numFmtId="0" fontId="7" fillId="0" borderId="3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5" xfId="0" applyNumberFormat="1" applyFont="1" applyFill="1" applyBorder="1"/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0" fontId="7" fillId="0" borderId="7" xfId="0" applyNumberFormat="1" applyFont="1" applyFill="1" applyBorder="1"/>
    <x:xf numFmtId="0" fontId="7" fillId="0" borderId="15" xfId="0" applyNumberFormat="1" applyFont="1" applyFill="1" applyBorder="1"/>
    <x:xf numFmtId="0" fontId="7" fillId="0" borderId="16" xfId="0" applyNumberFormat="1" applyFont="1" applyFill="1" applyBorder="1"/>
    <x:xf numFmtId="0" fontId="7" fillId="0" borderId="3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13" xfId="0" applyNumberFormat="1" applyFont="1" applyFill="1" applyBorder="1" applyAlignment="1">
      <x:alignment vertical="center"/>
    </x:xf>
    <x:xf numFmtId="0" fontId="7" fillId="0" borderId="14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0" fontId="7" fillId="0" borderId="15" xfId="0" applyNumberFormat="1" applyFont="1" applyFill="1" applyBorder="1" applyAlignment="1">
      <x:alignment vertical="center"/>
    </x:xf>
    <x:xf numFmtId="0" fontId="7" fillId="0" borderId="16" xfId="0" applyNumberFormat="1" applyFont="1" applyFill="1" applyBorder="1" applyAlignment="1">
      <x:alignment vertical="center"/>
    </x:xf>
    <x:xf numFmtId="201" fontId="7" fillId="0" borderId="3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201" fontId="7" fillId="0" borderId="7" xfId="0" applyNumberFormat="1" applyFont="1" applyFill="1" applyBorder="1" applyAlignment="1">
      <x:alignment vertical="center"/>
    </x:xf>
    <x:xf numFmtId="200" fontId="7" fillId="0" borderId="11" xfId="0" applyNumberFormat="1" applyFont="1" applyFill="1" applyBorder="1" applyAlignment="1">
      <x:alignment vertical="center"/>
    </x:xf>
    <x:xf numFmtId="200" fontId="7" fillId="0" borderId="13" xfId="0" applyNumberFormat="1" applyFont="1" applyFill="1" applyBorder="1" applyAlignment="1">
      <x:alignment vertical="center"/>
    </x:xf>
    <x:xf numFmtId="200" fontId="7" fillId="0" borderId="15" xfId="0" applyNumberFormat="1" applyFont="1" applyFill="1" applyBorder="1" applyAlignment="1">
      <x:alignment vertical="center"/>
    </x:xf>
    <x:xf numFmtId="200" fontId="8" fillId="0" borderId="11" xfId="0" applyNumberFormat="1" applyFont="1" applyFill="1" applyBorder="1" applyAlignment="1">
      <x:alignment vertical="center"/>
    </x:xf>
    <x:xf numFmtId="200" fontId="8" fillId="0" borderId="13" xfId="0" applyNumberFormat="1" applyFont="1" applyFill="1" applyBorder="1" applyAlignment="1">
      <x:alignment vertical="center"/>
    </x:xf>
    <x:xf numFmtId="200" fontId="8" fillId="0" borderId="15" xfId="0" applyNumberFormat="1" applyFont="1" applyFill="1" applyBorder="1" applyAlignment="1">
      <x:alignment vertical="center"/>
    </x:xf>
    <x:xf numFmtId="0" fontId="3" fillId="4" borderId="11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/>
    <x:xf numFmtId="0" fontId="0" fillId="0" borderId="13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0a3c1e3594133" /><Relationship Type="http://schemas.openxmlformats.org/officeDocument/2006/relationships/theme" Target="/xl/theme/theme1.xml" Id="R4f55cb191a4848db" /><Relationship Type="http://schemas.openxmlformats.org/officeDocument/2006/relationships/sharedStrings" Target="/xl/sharedStrings.xml" Id="R755b24c872d447fd" /><Relationship Type="http://schemas.openxmlformats.org/officeDocument/2006/relationships/worksheet" Target="/xl/worksheets/sheet1.xml" Id="R8938cea2d3f240ed" /><Relationship Type="http://schemas.openxmlformats.org/officeDocument/2006/relationships/worksheet" Target="/xl/worksheets/sheet2.xml" Id="R6212de1d49c94135" /><Relationship Type="http://schemas.openxmlformats.org/officeDocument/2006/relationships/worksheet" Target="/xl/worksheets/sheet3.xml" Id="Ra7c6c3614bba4c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3" t="str">
        <x:v>SỔ THU CHI - GÓC HỒ COFFEE</x:v>
      </x:c>
    </x:row>
    <x:row r="2" ht="25" customHeight="1">
      <x:c r="A2" s="7" t="str">
        <x:v>2026-04-01 đến 2026-06-30 | Actual mô phỏng | VND</x:v>
      </x:c>
    </x:row>
    <x:row r="4" ht="28" customHeight="1">
      <x:c r="A4" s="20" t="str">
        <x:v>Chỉ tiêu</x:v>
      </x:c>
      <x:c r="B4" s="21" t="str">
        <x:v>Giá trị</x:v>
      </x:c>
    </x:row>
    <x:row r="5">
      <x:c r="A5" s="22" t="str">
        <x:v>Số dư đầu kỳ</x:v>
      </x:c>
      <x:c r="B5" s="23" t="n">
        <x:v>380000000</x:v>
      </x:c>
    </x:row>
    <x:row r="6">
      <x:c r="A6" s="22" t="str">
        <x:v>Tổng tiền vào</x:v>
      </x:c>
      <x:c r="B6" s="24" t="n">
        <x:f>SUM('Sổ thu chi'!$G$5:$G$264)</x:f>
        <x:v>821303450</x:v>
      </x:c>
    </x:row>
    <x:row r="7">
      <x:c r="A7" s="22" t="str">
        <x:v>Tổng tiền ra</x:v>
      </x:c>
      <x:c r="B7" s="24" t="n">
        <x:f>SUM('Sổ thu chi'!$H$5:$H$264)</x:f>
        <x:v>761931040</x:v>
      </x:c>
    </x:row>
    <x:row r="8">
      <x:c r="A8" s="22" t="str">
        <x:v>Dòng tiền thuần</x:v>
      </x:c>
      <x:c r="B8" s="24" t="n">
        <x:f>B6-B7</x:f>
        <x:v>59372410</x:v>
      </x:c>
    </x:row>
    <x:row r="9">
      <x:c r="A9" s="22" t="str">
        <x:v>Số dư cuối kỳ</x:v>
      </x:c>
      <x:c r="B9" s="24" t="n">
        <x:f>'Sổ thu chi'!$J$264</x:f>
        <x:v>439372410</x:v>
      </x:c>
    </x:row>
    <x:row r="10">
      <x:c r="A10" s="25" t="str">
        <x:v>Trạng thái kiểm tra</x:v>
      </x:c>
      <x:c r="B10" s="26" t="str">
        <x:f>'Kiểm tra'!$E$8</x:f>
        <x:v>PASS</x:v>
      </x:c>
    </x:row>
    <x:row r="13" ht="28" customHeight="1">
      <x:c r="A13" s="14" t="str">
        <x:v>Tháng</x:v>
      </x:c>
      <x:c r="B13" s="29" t="str">
        <x:v>Từ ngày</x:v>
      </x:c>
      <x:c r="C13" s="29" t="str">
        <x:v>Đến ngày</x:v>
      </x:c>
      <x:c r="D13" s="29" t="str">
        <x:v>Tiền vào</x:v>
      </x:c>
      <x:c r="E13" s="29" t="str">
        <x:v>Tiền ra</x:v>
      </x:c>
      <x:c r="F13" s="15" t="str">
        <x:v>Thuần</x:v>
      </x:c>
    </x:row>
    <x:row r="14">
      <x:c r="A14" t="str">
        <x:v>04/2026</x:v>
      </x:c>
      <x:c r="B14" s="30" t="n">
        <x:v>46113</x:v>
      </x:c>
      <x:c r="C14" s="30" t="n">
        <x:v>46142</x:v>
      </x:c>
      <x:c r="D14" s="16" t="n">
        <x:f>SUMIFS('Sổ thu chi'!$G$5:$G$264,'Sổ thu chi'!$A$5:$A$264,"&gt;="&amp;B14,'Sổ thu chi'!$A$5:$A$264,"&lt;="&amp;C14)</x:f>
        <x:v>360927500</x:v>
      </x:c>
      <x:c r="E14" s="16" t="n">
        <x:f>SUMIFS('Sổ thu chi'!$H$5:$H$264,'Sổ thu chi'!$A$5:$A$264,"&gt;="&amp;B14,'Sổ thu chi'!$A$5:$A$264,"&lt;="&amp;C14)</x:f>
        <x:v>271788840</x:v>
      </x:c>
      <x:c r="F14" s="16" t="n">
        <x:f>D14-E14</x:f>
        <x:v>89138660</x:v>
      </x:c>
    </x:row>
    <x:row r="15">
      <x:c r="A15" t="str">
        <x:v>05/2026</x:v>
      </x:c>
      <x:c r="B15" s="30" t="n">
        <x:v>46143</x:v>
      </x:c>
      <x:c r="C15" s="30" t="n">
        <x:v>46173</x:v>
      </x:c>
      <x:c r="D15" s="16" t="n">
        <x:f>SUMIFS('Sổ thu chi'!$G$5:$G$264,'Sổ thu chi'!$A$5:$A$264,"&gt;="&amp;B15,'Sổ thu chi'!$A$5:$A$264,"&lt;="&amp;C15)</x:f>
        <x:v>230548900</x:v>
      </x:c>
      <x:c r="E15" s="16" t="n">
        <x:f>SUMIFS('Sổ thu chi'!$H$5:$H$264,'Sổ thu chi'!$A$5:$A$264,"&gt;="&amp;B15,'Sổ thu chi'!$A$5:$A$264,"&lt;="&amp;C15)</x:f>
        <x:v>247264940</x:v>
      </x:c>
      <x:c r="F15" s="16" t="n">
        <x:f>D15-E15</x:f>
        <x:v>-16716040</x:v>
      </x:c>
    </x:row>
    <x:row r="16">
      <x:c r="A16" t="str">
        <x:v>06/2026</x:v>
      </x:c>
      <x:c r="B16" s="30" t="n">
        <x:v>46174</x:v>
      </x:c>
      <x:c r="C16" s="30" t="n">
        <x:v>46203</x:v>
      </x:c>
      <x:c r="D16" s="16" t="n">
        <x:f>SUMIFS('Sổ thu chi'!$G$5:$G$264,'Sổ thu chi'!$A$5:$A$264,"&gt;="&amp;B16,'Sổ thu chi'!$A$5:$A$264,"&lt;="&amp;C16)</x:f>
        <x:v>229827050</x:v>
      </x:c>
      <x:c r="E16" s="16" t="n">
        <x:f>SUMIFS('Sổ thu chi'!$H$5:$H$264,'Sổ thu chi'!$A$5:$A$264,"&gt;="&amp;B16,'Sổ thu chi'!$A$5:$A$264,"&lt;="&amp;C16)</x:f>
        <x:v>242877260</x:v>
      </x:c>
      <x:c r="F16" s="16" t="n">
        <x:f>D16-E16</x:f>
        <x:v>-13050210</x:v>
      </x:c>
    </x:row>
    <x:row r="17">
      <x:c r="A17" s="33" t="str">
        <x:v>Tổng</x:v>
      </x:c>
      <x:c r="B17" s="33"/>
      <x:c r="C17" s="33"/>
      <x:c r="D17" s="34" t="n">
        <x:f>SUM(D14:D16)</x:f>
        <x:v>821303450</x:v>
      </x:c>
      <x:c r="E17" s="34" t="n">
        <x:f>SUM(E14:E16)</x:f>
        <x:v>761931040</x:v>
      </x:c>
      <x:c r="F17" s="34" t="n">
        <x:f>SUM(F14:F16)</x:f>
        <x:v>59372410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3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2" customHeight="1">
      <x:c r="A1" s="3" t="str">
        <x:v>CHI TIẾT SỔ THU CHI</x:v>
      </x:c>
    </x:row>
    <x:row r="2" ht="25" customHeight="1">
      <x:c r="A2" s="7" t="str">
        <x:v>Tiền thuần và số dư chạy là công thức. Số dư đầu kỳ được lấy từ sheet Tóm tắt.</x:v>
      </x:c>
    </x:row>
    <x:row r="4" ht="28" customHeight="1">
      <x:c r="A4" s="14" t="str">
        <x:v>Ngày</x:v>
      </x:c>
      <x:c r="B4" s="29" t="str">
        <x:v>Mã giao dịch</x:v>
      </x:c>
      <x:c r="C4" s="29" t="str">
        <x:v>Loại</x:v>
      </x:c>
      <x:c r="D4" s="29" t="str">
        <x:v>Nhóm</x:v>
      </x:c>
      <x:c r="E4" s="29" t="str">
        <x:v>Diễn giải</x:v>
      </x:c>
      <x:c r="F4" s="29" t="str">
        <x:v>Tài khoản</x:v>
      </x:c>
      <x:c r="G4" s="29" t="str">
        <x:v>Tiền vào</x:v>
      </x:c>
      <x:c r="H4" s="29" t="str">
        <x:v>Tiền ra</x:v>
      </x:c>
      <x:c r="I4" s="29" t="str">
        <x:v>Thuần</x:v>
      </x:c>
      <x:c r="J4" s="29" t="str">
        <x:v>Số dư chạy</x:v>
      </x:c>
      <x:c r="K4" s="15" t="str">
        <x:v>Chứng từ nguồn</x:v>
      </x:c>
    </x:row>
    <x:row r="5">
      <x:c r="A5" s="54" t="n">
        <x:v>46113</x:v>
      </x:c>
      <x:c r="B5" s="46" t="str">
        <x:v>PC-0184</x:v>
      </x:c>
      <x:c r="C5" s="46" t="str">
        <x:v>Chi</x:v>
      </x:c>
      <x:c r="D5" s="46" t="str">
        <x:v>Cà phê hạt</x:v>
      </x:c>
      <x:c r="E5" s="46" t="str">
        <x:v>Cà phê hạt rang</x:v>
      </x:c>
      <x:c r="F5" s="46" t="str">
        <x:v>Ngân hàng</x:v>
      </x:c>
      <x:c r="G5" s="57" t="n">
        <x:v>0</x:v>
      </x:c>
      <x:c r="H5" s="57" t="n">
        <x:v>7479000</x:v>
      </x:c>
      <x:c r="I5" s="60" t="n">
        <x:f>G5-H5</x:f>
        <x:v>-7479000</x:v>
      </x:c>
      <x:c r="J5" s="60" t="n">
        <x:f>'Tóm tắt'!$B$5+I5</x:f>
        <x:v>372521000</x:v>
      </x:c>
      <x:c r="K5" s="47" t="str">
        <x:v>HDMH-MAU-001</x:v>
      </x:c>
    </x:row>
    <x:row r="6">
      <x:c r="A6" s="55" t="n">
        <x:v>46113</x:v>
      </x:c>
      <x:c r="B6" s="49" t="str">
        <x:v>PC-0185</x:v>
      </x:c>
      <x:c r="C6" s="49" t="str">
        <x:v>Chi</x:v>
      </x:c>
      <x:c r="D6" s="49" t="str">
        <x:v>Sữa và nguyên liệu</x:v>
      </x:c>
      <x:c r="E6" s="49" t="str">
        <x:v>Sữa tươi và sữa đặc</x:v>
      </x:c>
      <x:c r="F6" s="49" t="str">
        <x:v>Tiền mặt</x:v>
      </x:c>
      <x:c r="G6" s="58" t="n">
        <x:v>0</x:v>
      </x:c>
      <x:c r="H6" s="58" t="n">
        <x:v>5990760</x:v>
      </x:c>
      <x:c r="I6" s="61" t="n">
        <x:f>G6-H6</x:f>
        <x:v>-5990760</x:v>
      </x:c>
      <x:c r="J6" s="61" t="n">
        <x:f>J5+I6</x:f>
        <x:v>366530240</x:v>
      </x:c>
      <x:c r="K6" s="50" t="str">
        <x:v>HDMH-MAU-002</x:v>
      </x:c>
    </x:row>
    <x:row r="7">
      <x:c r="A7" s="55" t="n">
        <x:v>46113</x:v>
      </x:c>
      <x:c r="B7" s="49" t="str">
        <x:v>PC-0186</x:v>
      </x:c>
      <x:c r="C7" s="49" t="str">
        <x:v>Chi</x:v>
      </x:c>
      <x:c r="D7" s="49" t="str">
        <x:v>Bao bì</x:v>
      </x:c>
      <x:c r="E7" s="49" t="str">
        <x:v>Cốc, nắp và túi mang đi</x:v>
      </x:c>
      <x:c r="F7" s="49" t="str">
        <x:v>Ngân hàng</x:v>
      </x:c>
      <x:c r="G7" s="58" t="n">
        <x:v>0</x:v>
      </x:c>
      <x:c r="H7" s="58" t="n">
        <x:v>3054240</x:v>
      </x:c>
      <x:c r="I7" s="61" t="n">
        <x:f>G7-H7</x:f>
        <x:v>-3054240</x:v>
      </x:c>
      <x:c r="J7" s="61" t="n">
        <x:f>J6+I7</x:f>
        <x:v>363476000</x:v>
      </x:c>
      <x:c r="K7" s="50" t="str">
        <x:v>HDMH-MAU-003</x:v>
      </x:c>
    </x:row>
    <x:row r="8">
      <x:c r="A8" s="55" t="n">
        <x:v>46113</x:v>
      </x:c>
      <x:c r="B8" s="49" t="str">
        <x:v>PC-0187</x:v>
      </x:c>
      <x:c r="C8" s="49" t="str">
        <x:v>Chi</x:v>
      </x:c>
      <x:c r="D8" s="49" t="str">
        <x:v>Bánh</x:v>
      </x:c>
      <x:c r="E8" s="49" t="str">
        <x:v>Bánh ngọt giao tuần</x:v>
      </x:c>
      <x:c r="F8" s="49" t="str">
        <x:v>Tiền mặt</x:v>
      </x:c>
      <x:c r="G8" s="58" t="n">
        <x:v>0</x:v>
      </x:c>
      <x:c r="H8" s="58" t="n">
        <x:v>5400000</x:v>
      </x:c>
      <x:c r="I8" s="61" t="n">
        <x:f>G8-H8</x:f>
        <x:v>-5400000</x:v>
      </x:c>
      <x:c r="J8" s="61" t="n">
        <x:f>J7+I8</x:f>
        <x:v>358076000</x:v>
      </x:c>
      <x:c r="K8" s="50" t="str">
        <x:v>HDMH-MAU-004</x:v>
      </x:c>
    </x:row>
    <x:row r="9">
      <x:c r="A9" s="55" t="n">
        <x:v>46113</x:v>
      </x:c>
      <x:c r="B9" s="49" t="str">
        <x:v>PC-0188</x:v>
      </x:c>
      <x:c r="C9" s="49" t="str">
        <x:v>Chi</x:v>
      </x:c>
      <x:c r="D9" s="49" t="str">
        <x:v>Marketing</x:v>
      </x:c>
      <x:c r="E9" s="49" t="str">
        <x:v>Quảng cáo mạng xã hội</x:v>
      </x:c>
      <x:c r="F9" s="49" t="str">
        <x:v>Ngân hàng</x:v>
      </x:c>
      <x:c r="G9" s="58" t="n">
        <x:v>0</x:v>
      </x:c>
      <x:c r="H9" s="58" t="n">
        <x:v>2469500</x:v>
      </x:c>
      <x:c r="I9" s="61" t="n">
        <x:f>G9-H9</x:f>
        <x:v>-2469500</x:v>
      </x:c>
      <x:c r="J9" s="61" t="n">
        <x:f>J8+I9</x:f>
        <x:v>355606500</x:v>
      </x:c>
      <x:c r="K9" s="50" t="str">
        <x:v>HDMH-MAU-005</x:v>
      </x:c>
    </x:row>
    <x:row r="10">
      <x:c r="A10" s="55" t="n">
        <x:v>46113</x:v>
      </x:c>
      <x:c r="B10" s="49" t="str">
        <x:v>PT-0001</x:v>
      </x:c>
      <x:c r="C10" s="49" t="str">
        <x:v>Vốn góp</x:v>
      </x:c>
      <x:c r="D10" s="49" t="str">
        <x:v>Vốn chủ</x:v>
      </x:c>
      <x:c r="E10" s="49" t="str">
        <x:v>Chủ quán bổ sung vốn lưu động</x:v>
      </x:c>
      <x:c r="F10" s="49" t="str">
        <x:v>Ngân hàng</x:v>
      </x:c>
      <x:c r="G10" s="58" t="n">
        <x:v>150000000</x:v>
      </x:c>
      <x:c r="H10" s="58" t="n">
        <x:v>0</x:v>
      </x:c>
      <x:c r="I10" s="61" t="n">
        <x:f>G10-H10</x:f>
        <x:v>150000000</x:v>
      </x:c>
      <x:c r="J10" s="61" t="n">
        <x:f>J9+I10</x:f>
        <x:v>505606500</x:v>
      </x:c>
      <x:c r="K10" s="50" t="str">
        <x:v>BB-GOPVON-DEMO-001</x:v>
      </x:c>
    </x:row>
    <x:row r="11">
      <x:c r="A11" s="55" t="n">
        <x:v>46113</x:v>
      </x:c>
      <x:c r="B11" s="49" t="str">
        <x:v>PT-0002</x:v>
      </x:c>
      <x:c r="C11" s="49" t="str">
        <x:v>Thu</x:v>
      </x:c>
      <x:c r="D11" s="49" t="str">
        <x:v>Bán hàng</x:v>
      </x:c>
      <x:c r="E11" s="49" t="str">
        <x:v>Doanh thu bán hàng trong ngày - tiền mặt</x:v>
      </x:c>
      <x:c r="F11" s="49" t="str">
        <x:v>Tiền mặt</x:v>
      </x:c>
      <x:c r="G11" s="58" t="n">
        <x:v>2107000</x:v>
      </x:c>
      <x:c r="H11" s="58" t="n">
        <x:v>0</x:v>
      </x:c>
      <x:c r="I11" s="61" t="n">
        <x:f>G11-H11</x:f>
        <x:v>2107000</x:v>
      </x:c>
      <x:c r="J11" s="61" t="n">
        <x:f>J10+I11</x:f>
        <x:v>507713500</x:v>
      </x:c>
      <x:c r="K11" s="50" t="str">
        <x:v>BH-20260401</x:v>
      </x:c>
    </x:row>
    <x:row r="12">
      <x:c r="A12" s="55" t="n">
        <x:v>46113</x:v>
      </x:c>
      <x:c r="B12" s="49" t="str">
        <x:v>PT-0003</x:v>
      </x:c>
      <x:c r="C12" s="49" t="str">
        <x:v>Thu</x:v>
      </x:c>
      <x:c r="D12" s="49" t="str">
        <x:v>Bán hàng</x:v>
      </x:c>
      <x:c r="E12" s="49" t="str">
        <x:v>Doanh thu bán hàng trong ngày - QR/chuyển khoản</x:v>
      </x:c>
      <x:c r="F12" s="49" t="str">
        <x:v>Ngân hàng</x:v>
      </x:c>
      <x:c r="G12" s="58" t="n">
        <x:v>4291600</x:v>
      </x:c>
      <x:c r="H12" s="58" t="n">
        <x:v>0</x:v>
      </x:c>
      <x:c r="I12" s="61" t="n">
        <x:f>G12-H12</x:f>
        <x:v>4291600</x:v>
      </x:c>
      <x:c r="J12" s="61" t="n">
        <x:f>J11+I12</x:f>
        <x:v>512005100</x:v>
      </x:c>
      <x:c r="K12" s="50" t="str">
        <x:v>BH-20260401</x:v>
      </x:c>
    </x:row>
    <x:row r="13">
      <x:c r="A13" s="55" t="n">
        <x:v>46114</x:v>
      </x:c>
      <x:c r="B13" s="49" t="str">
        <x:v>PC-0189</x:v>
      </x:c>
      <x:c r="C13" s="49" t="str">
        <x:v>Chi</x:v>
      </x:c>
      <x:c r="D13" s="49" t="str">
        <x:v>Tiền thuê</x:v>
      </x:c>
      <x:c r="E13" s="49" t="str">
        <x:v>Tiền thuê mặt bằng tháng 04/2026</x:v>
      </x:c>
      <x:c r="F13" s="49" t="str">
        <x:v>Ngân hàng</x:v>
      </x:c>
      <x:c r="G13" s="58" t="n">
        <x:v>0</x:v>
      </x:c>
      <x:c r="H13" s="58" t="n">
        <x:v>70000000</x:v>
      </x:c>
      <x:c r="I13" s="61" t="n">
        <x:f>G13-H13</x:f>
        <x:v>-70000000</x:v>
      </x:c>
      <x:c r="J13" s="61" t="n">
        <x:f>J12+I13</x:f>
        <x:v>442005100</x:v>
      </x:c>
      <x:c r="K13" s="50" t="str">
        <x:v>CP-THUE-202604</x:v>
      </x:c>
    </x:row>
    <x:row r="14">
      <x:c r="A14" s="55" t="n">
        <x:v>46114</x:v>
      </x:c>
      <x:c r="B14" s="49" t="str">
        <x:v>PT-0004</x:v>
      </x:c>
      <x:c r="C14" s="49" t="str">
        <x:v>Thu</x:v>
      </x:c>
      <x:c r="D14" s="49" t="str">
        <x:v>Bán hàng</x:v>
      </x:c>
      <x:c r="E14" s="49" t="str">
        <x:v>Doanh thu bán hàng trong ngày - tiền mặt</x:v>
      </x:c>
      <x:c r="F14" s="49" t="str">
        <x:v>Tiền mặt</x:v>
      </x:c>
      <x:c r="G14" s="58" t="n">
        <x:v>2171000</x:v>
      </x:c>
      <x:c r="H14" s="58" t="n">
        <x:v>0</x:v>
      </x:c>
      <x:c r="I14" s="61" t="n">
        <x:f>G14-H14</x:f>
        <x:v>2171000</x:v>
      </x:c>
      <x:c r="J14" s="61" t="n">
        <x:f>J13+I14</x:f>
        <x:v>444176100</x:v>
      </x:c>
      <x:c r="K14" s="50" t="str">
        <x:v>BH-20260402</x:v>
      </x:c>
    </x:row>
    <x:row r="15">
      <x:c r="A15" s="55" t="n">
        <x:v>46114</x:v>
      </x:c>
      <x:c r="B15" s="49" t="str">
        <x:v>PT-0005</x:v>
      </x:c>
      <x:c r="C15" s="49" t="str">
        <x:v>Thu</x:v>
      </x:c>
      <x:c r="D15" s="49" t="str">
        <x:v>Bán hàng</x:v>
      </x:c>
      <x:c r="E15" s="49" t="str">
        <x:v>Doanh thu bán hàng trong ngày - QR/chuyển khoản</x:v>
      </x:c>
      <x:c r="F15" s="49" t="str">
        <x:v>Ngân hàng</x:v>
      </x:c>
      <x:c r="G15" s="58" t="n">
        <x:v>4117950</x:v>
      </x:c>
      <x:c r="H15" s="58" t="n">
        <x:v>0</x:v>
      </x:c>
      <x:c r="I15" s="61" t="n">
        <x:f>G15-H15</x:f>
        <x:v>4117950</x:v>
      </x:c>
      <x:c r="J15" s="61" t="n">
        <x:f>J14+I15</x:f>
        <x:v>448294050</x:v>
      </x:c>
      <x:c r="K15" s="50" t="str">
        <x:v>BH-20260402</x:v>
      </x:c>
    </x:row>
    <x:row r="16">
      <x:c r="A16" s="55" t="n">
        <x:v>46115</x:v>
      </x:c>
      <x:c r="B16" s="49" t="str">
        <x:v>PT-0006</x:v>
      </x:c>
      <x:c r="C16" s="49" t="str">
        <x:v>Thu</x:v>
      </x:c>
      <x:c r="D16" s="49" t="str">
        <x:v>Bán hàng</x:v>
      </x:c>
      <x:c r="E16" s="49" t="str">
        <x:v>Doanh thu bán hàng trong ngày - tiền mặt</x:v>
      </x:c>
      <x:c r="F16" s="49" t="str">
        <x:v>Tiền mặt</x:v>
      </x:c>
      <x:c r="G16" s="58" t="n">
        <x:v>1994000</x:v>
      </x:c>
      <x:c r="H16" s="58" t="n">
        <x:v>0</x:v>
      </x:c>
      <x:c r="I16" s="61" t="n">
        <x:f>G16-H16</x:f>
        <x:v>1994000</x:v>
      </x:c>
      <x:c r="J16" s="61" t="n">
        <x:f>J15+I16</x:f>
        <x:v>450288050</x:v>
      </x:c>
      <x:c r="K16" s="50" t="str">
        <x:v>BH-20260403</x:v>
      </x:c>
    </x:row>
    <x:row r="17">
      <x:c r="A17" s="55" t="n">
        <x:v>46115</x:v>
      </x:c>
      <x:c r="B17" s="49" t="str">
        <x:v>PT-0007</x:v>
      </x:c>
      <x:c r="C17" s="49" t="str">
        <x:v>Thu</x:v>
      </x:c>
      <x:c r="D17" s="49" t="str">
        <x:v>Bán hàng</x:v>
      </x:c>
      <x:c r="E17" s="49" t="str">
        <x:v>Doanh thu bán hàng trong ngày - QR/chuyển khoản</x:v>
      </x:c>
      <x:c r="F17" s="49" t="str">
        <x:v>Ngân hàng</x:v>
      </x:c>
      <x:c r="G17" s="58" t="n">
        <x:v>4501250</x:v>
      </x:c>
      <x:c r="H17" s="58" t="n">
        <x:v>0</x:v>
      </x:c>
      <x:c r="I17" s="61" t="n">
        <x:f>G17-H17</x:f>
        <x:v>4501250</x:v>
      </x:c>
      <x:c r="J17" s="61" t="n">
        <x:f>J16+I17</x:f>
        <x:v>454789300</x:v>
      </x:c>
      <x:c r="K17" s="50" t="str">
        <x:v>BH-20260403</x:v>
      </x:c>
    </x:row>
    <x:row r="18">
      <x:c r="A18" s="55" t="n">
        <x:v>46116</x:v>
      </x:c>
      <x:c r="B18" s="49" t="str">
        <x:v>PT-0008</x:v>
      </x:c>
      <x:c r="C18" s="49" t="str">
        <x:v>Thu</x:v>
      </x:c>
      <x:c r="D18" s="49" t="str">
        <x:v>Bán hàng</x:v>
      </x:c>
      <x:c r="E18" s="49" t="str">
        <x:v>Doanh thu bán hàng trong ngày - tiền mặt</x:v>
      </x:c>
      <x:c r="F18" s="49" t="str">
        <x:v>Tiền mặt</x:v>
      </x:c>
      <x:c r="G18" s="58" t="n">
        <x:v>2958000</x:v>
      </x:c>
      <x:c r="H18" s="58" t="n">
        <x:v>0</x:v>
      </x:c>
      <x:c r="I18" s="61" t="n">
        <x:f>G18-H18</x:f>
        <x:v>2958000</x:v>
      </x:c>
      <x:c r="J18" s="61" t="n">
        <x:f>J17+I18</x:f>
        <x:v>457747300</x:v>
      </x:c>
      <x:c r="K18" s="50" t="str">
        <x:v>BH-20260404</x:v>
      </x:c>
    </x:row>
    <x:row r="19">
      <x:c r="A19" s="55" t="n">
        <x:v>46116</x:v>
      </x:c>
      <x:c r="B19" s="49" t="str">
        <x:v>PT-0009</x:v>
      </x:c>
      <x:c r="C19" s="49" t="str">
        <x:v>Thu</x:v>
      </x:c>
      <x:c r="D19" s="49" t="str">
        <x:v>Bán hàng</x:v>
      </x:c>
      <x:c r="E19" s="49" t="str">
        <x:v>Doanh thu bán hàng trong ngày - QR/chuyển khoản</x:v>
      </x:c>
      <x:c r="F19" s="49" t="str">
        <x:v>Ngân hàng</x:v>
      </x:c>
      <x:c r="G19" s="58" t="n">
        <x:v>5091000</x:v>
      </x:c>
      <x:c r="H19" s="58" t="n">
        <x:v>0</x:v>
      </x:c>
      <x:c r="I19" s="61" t="n">
        <x:f>G19-H19</x:f>
        <x:v>5091000</x:v>
      </x:c>
      <x:c r="J19" s="61" t="n">
        <x:f>J18+I19</x:f>
        <x:v>462838300</x:v>
      </x:c>
      <x:c r="K19" s="50" t="str">
        <x:v>BH-20260404</x:v>
      </x:c>
    </x:row>
    <x:row r="20">
      <x:c r="A20" s="55" t="n">
        <x:v>46117</x:v>
      </x:c>
      <x:c r="B20" s="49" t="str">
        <x:v>PT-0010</x:v>
      </x:c>
      <x:c r="C20" s="49" t="str">
        <x:v>Thu</x:v>
      </x:c>
      <x:c r="D20" s="49" t="str">
        <x:v>Bán hàng</x:v>
      </x:c>
      <x:c r="E20" s="49" t="str">
        <x:v>Doanh thu bán hàng trong ngày - tiền mặt</x:v>
      </x:c>
      <x:c r="F20" s="49" t="str">
        <x:v>Tiền mặt</x:v>
      </x:c>
      <x:c r="G20" s="58" t="n">
        <x:v>2478000</x:v>
      </x:c>
      <x:c r="H20" s="58" t="n">
        <x:v>0</x:v>
      </x:c>
      <x:c r="I20" s="61" t="n">
        <x:f>G20-H20</x:f>
        <x:v>2478000</x:v>
      </x:c>
      <x:c r="J20" s="61" t="n">
        <x:f>J19+I20</x:f>
        <x:v>465316300</x:v>
      </x:c>
      <x:c r="K20" s="50" t="str">
        <x:v>BH-20260405</x:v>
      </x:c>
    </x:row>
    <x:row r="21">
      <x:c r="A21" s="55" t="n">
        <x:v>46117</x:v>
      </x:c>
      <x:c r="B21" s="49" t="str">
        <x:v>PT-0011</x:v>
      </x:c>
      <x:c r="C21" s="49" t="str">
        <x:v>Thu</x:v>
      </x:c>
      <x:c r="D21" s="49" t="str">
        <x:v>Bán hàng</x:v>
      </x:c>
      <x:c r="E21" s="49" t="str">
        <x:v>Doanh thu bán hàng trong ngày - QR/chuyển khoản</x:v>
      </x:c>
      <x:c r="F21" s="49" t="str">
        <x:v>Ngân hàng</x:v>
      </x:c>
      <x:c r="G21" s="58" t="n">
        <x:v>5722750</x:v>
      </x:c>
      <x:c r="H21" s="58" t="n">
        <x:v>0</x:v>
      </x:c>
      <x:c r="I21" s="61" t="n">
        <x:f>G21-H21</x:f>
        <x:v>5722750</x:v>
      </x:c>
      <x:c r="J21" s="61" t="n">
        <x:f>J20+I21</x:f>
        <x:v>471039050</x:v>
      </x:c>
      <x:c r="K21" s="50" t="str">
        <x:v>BH-20260405</x:v>
      </x:c>
    </x:row>
    <x:row r="22">
      <x:c r="A22" s="55" t="n">
        <x:v>46118</x:v>
      </x:c>
      <x:c r="B22" s="49" t="str">
        <x:v>PT-0012</x:v>
      </x:c>
      <x:c r="C22" s="49" t="str">
        <x:v>Thu</x:v>
      </x:c>
      <x:c r="D22" s="49" t="str">
        <x:v>Bán hàng</x:v>
      </x:c>
      <x:c r="E22" s="49" t="str">
        <x:v>Doanh thu bán hàng trong ngày - tiền mặt</x:v>
      </x:c>
      <x:c r="F22" s="49" t="str">
        <x:v>Tiền mặt</x:v>
      </x:c>
      <x:c r="G22" s="58" t="n">
        <x:v>2326000</x:v>
      </x:c>
      <x:c r="H22" s="58" t="n">
        <x:v>0</x:v>
      </x:c>
      <x:c r="I22" s="61" t="n">
        <x:f>G22-H22</x:f>
        <x:v>2326000</x:v>
      </x:c>
      <x:c r="J22" s="61" t="n">
        <x:f>J21+I22</x:f>
        <x:v>473365050</x:v>
      </x:c>
      <x:c r="K22" s="50" t="str">
        <x:v>BH-20260406</x:v>
      </x:c>
    </x:row>
    <x:row r="23">
      <x:c r="A23" s="55" t="n">
        <x:v>46118</x:v>
      </x:c>
      <x:c r="B23" s="49" t="str">
        <x:v>PT-0013</x:v>
      </x:c>
      <x:c r="C23" s="49" t="str">
        <x:v>Thu</x:v>
      </x:c>
      <x:c r="D23" s="49" t="str">
        <x:v>Bán hàng</x:v>
      </x:c>
      <x:c r="E23" s="49" t="str">
        <x:v>Doanh thu bán hàng trong ngày - QR/chuyển khoản</x:v>
      </x:c>
      <x:c r="F23" s="49" t="str">
        <x:v>Ngân hàng</x:v>
      </x:c>
      <x:c r="G23" s="58" t="n">
        <x:v>4512800</x:v>
      </x:c>
      <x:c r="H23" s="58" t="n">
        <x:v>0</x:v>
      </x:c>
      <x:c r="I23" s="61" t="n">
        <x:f>G23-H23</x:f>
        <x:v>4512800</x:v>
      </x:c>
      <x:c r="J23" s="61" t="n">
        <x:f>J22+I23</x:f>
        <x:v>477877850</x:v>
      </x:c>
      <x:c r="K23" s="50" t="str">
        <x:v>BH-20260406</x:v>
      </x:c>
    </x:row>
    <x:row r="24">
      <x:c r="A24" s="55" t="n">
        <x:v>46119</x:v>
      </x:c>
      <x:c r="B24" s="49" t="str">
        <x:v>PT-0014</x:v>
      </x:c>
      <x:c r="C24" s="49" t="str">
        <x:v>Thu</x:v>
      </x:c>
      <x:c r="D24" s="49" t="str">
        <x:v>Bán hàng</x:v>
      </x:c>
      <x:c r="E24" s="49" t="str">
        <x:v>Doanh thu bán hàng trong ngày - tiền mặt</x:v>
      </x:c>
      <x:c r="F24" s="49" t="str">
        <x:v>Tiền mặt</x:v>
      </x:c>
      <x:c r="G24" s="58" t="n">
        <x:v>2179000</x:v>
      </x:c>
      <x:c r="H24" s="58" t="n">
        <x:v>0</x:v>
      </x:c>
      <x:c r="I24" s="61" t="n">
        <x:f>G24-H24</x:f>
        <x:v>2179000</x:v>
      </x:c>
      <x:c r="J24" s="61" t="n">
        <x:f>J23+I24</x:f>
        <x:v>480056850</x:v>
      </x:c>
      <x:c r="K24" s="50" t="str">
        <x:v>BH-20260407</x:v>
      </x:c>
    </x:row>
    <x:row r="25">
      <x:c r="A25" s="55" t="n">
        <x:v>46119</x:v>
      </x:c>
      <x:c r="B25" s="49" t="str">
        <x:v>PT-0015</x:v>
      </x:c>
      <x:c r="C25" s="49" t="str">
        <x:v>Thu</x:v>
      </x:c>
      <x:c r="D25" s="49" t="str">
        <x:v>Bán hàng</x:v>
      </x:c>
      <x:c r="E25" s="49" t="str">
        <x:v>Doanh thu bán hàng trong ngày - QR/chuyển khoản</x:v>
      </x:c>
      <x:c r="F25" s="49" t="str">
        <x:v>Ngân hàng</x:v>
      </x:c>
      <x:c r="G25" s="58" t="n">
        <x:v>4514300</x:v>
      </x:c>
      <x:c r="H25" s="58" t="n">
        <x:v>0</x:v>
      </x:c>
      <x:c r="I25" s="61" t="n">
        <x:f>G25-H25</x:f>
        <x:v>4514300</x:v>
      </x:c>
      <x:c r="J25" s="61" t="n">
        <x:f>J24+I25</x:f>
        <x:v>484571150</x:v>
      </x:c>
      <x:c r="K25" s="50" t="str">
        <x:v>BH-20260407</x:v>
      </x:c>
    </x:row>
    <x:row r="26">
      <x:c r="A26" s="55" t="n">
        <x:v>46120</x:v>
      </x:c>
      <x:c r="B26" s="49" t="str">
        <x:v>PC-0190</x:v>
      </x:c>
      <x:c r="C26" s="49" t="str">
        <x:v>Chi</x:v>
      </x:c>
      <x:c r="D26" s="49" t="str">
        <x:v>Cà phê hạt</x:v>
      </x:c>
      <x:c r="E26" s="49" t="str">
        <x:v>Cà phê hạt rang</x:v>
      </x:c>
      <x:c r="F26" s="49" t="str">
        <x:v>Ngân hàng</x:v>
      </x:c>
      <x:c r="G26" s="58" t="n">
        <x:v>0</x:v>
      </x:c>
      <x:c r="H26" s="58" t="n">
        <x:v>7946640</x:v>
      </x:c>
      <x:c r="I26" s="61" t="n">
        <x:f>G26-H26</x:f>
        <x:v>-7946640</x:v>
      </x:c>
      <x:c r="J26" s="61" t="n">
        <x:f>J25+I26</x:f>
        <x:v>476624510</x:v>
      </x:c>
      <x:c r="K26" s="50" t="str">
        <x:v>HDMH-MAU-006</x:v>
      </x:c>
    </x:row>
    <x:row r="27">
      <x:c r="A27" s="55" t="n">
        <x:v>46120</x:v>
      </x:c>
      <x:c r="B27" s="49" t="str">
        <x:v>PC-0191</x:v>
      </x:c>
      <x:c r="C27" s="49" t="str">
        <x:v>Chi</x:v>
      </x:c>
      <x:c r="D27" s="49" t="str">
        <x:v>Sữa và nguyên liệu</x:v>
      </x:c>
      <x:c r="E27" s="49" t="str">
        <x:v>Sữa tươi và sữa đặc</x:v>
      </x:c>
      <x:c r="F27" s="49" t="str">
        <x:v>Tiền mặt</x:v>
      </x:c>
      <x:c r="G27" s="58" t="n">
        <x:v>0</x:v>
      </x:c>
      <x:c r="H27" s="58" t="n">
        <x:v>5900040</x:v>
      </x:c>
      <x:c r="I27" s="61" t="n">
        <x:f>G27-H27</x:f>
        <x:v>-5900040</x:v>
      </x:c>
      <x:c r="J27" s="61" t="n">
        <x:f>J26+I27</x:f>
        <x:v>470724470</x:v>
      </x:c>
      <x:c r="K27" s="50" t="str">
        <x:v>HDMH-MAU-007</x:v>
      </x:c>
    </x:row>
    <x:row r="28">
      <x:c r="A28" s="55" t="n">
        <x:v>46120</x:v>
      </x:c>
      <x:c r="B28" s="49" t="str">
        <x:v>PC-0192</x:v>
      </x:c>
      <x:c r="C28" s="49" t="str">
        <x:v>Chi</x:v>
      </x:c>
      <x:c r="D28" s="49" t="str">
        <x:v>Bao bì</x:v>
      </x:c>
      <x:c r="E28" s="49" t="str">
        <x:v>Cốc, nắp và túi mang đi</x:v>
      </x:c>
      <x:c r="F28" s="49" t="str">
        <x:v>Ngân hàng</x:v>
      </x:c>
      <x:c r="G28" s="58" t="n">
        <x:v>0</x:v>
      </x:c>
      <x:c r="H28" s="58" t="n">
        <x:v>3041280</x:v>
      </x:c>
      <x:c r="I28" s="61" t="n">
        <x:f>G28-H28</x:f>
        <x:v>-3041280</x:v>
      </x:c>
      <x:c r="J28" s="61" t="n">
        <x:f>J27+I28</x:f>
        <x:v>467683190</x:v>
      </x:c>
      <x:c r="K28" s="50" t="str">
        <x:v>HDMH-MAU-008</x:v>
      </x:c>
    </x:row>
    <x:row r="29">
      <x:c r="A29" s="55" t="n">
        <x:v>46120</x:v>
      </x:c>
      <x:c r="B29" s="49" t="str">
        <x:v>PC-0193</x:v>
      </x:c>
      <x:c r="C29" s="49" t="str">
        <x:v>Chi</x:v>
      </x:c>
      <x:c r="D29" s="49" t="str">
        <x:v>Bánh</x:v>
      </x:c>
      <x:c r="E29" s="49" t="str">
        <x:v>Bánh ngọt giao tuần</x:v>
      </x:c>
      <x:c r="F29" s="49" t="str">
        <x:v>Tiền mặt</x:v>
      </x:c>
      <x:c r="G29" s="58" t="n">
        <x:v>0</x:v>
      </x:c>
      <x:c r="H29" s="58" t="n">
        <x:v>5405400</x:v>
      </x:c>
      <x:c r="I29" s="61" t="n">
        <x:f>G29-H29</x:f>
        <x:v>-5405400</x:v>
      </x:c>
      <x:c r="J29" s="61" t="n">
        <x:f>J28+I29</x:f>
        <x:v>462277790</x:v>
      </x:c>
      <x:c r="K29" s="50" t="str">
        <x:v>HDMH-MAU-009</x:v>
      </x:c>
    </x:row>
    <x:row r="30">
      <x:c r="A30" s="55" t="n">
        <x:v>46120</x:v>
      </x:c>
      <x:c r="B30" s="49" t="str">
        <x:v>PC-0194</x:v>
      </x:c>
      <x:c r="C30" s="49" t="str">
        <x:v>Chi</x:v>
      </x:c>
      <x:c r="D30" s="49" t="str">
        <x:v>Marketing</x:v>
      </x:c>
      <x:c r="E30" s="49" t="str">
        <x:v>Quảng cáo mạng xã hội</x:v>
      </x:c>
      <x:c r="F30" s="49" t="str">
        <x:v>Ngân hàng</x:v>
      </x:c>
      <x:c r="G30" s="58" t="n">
        <x:v>0</x:v>
      </x:c>
      <x:c r="H30" s="58" t="n">
        <x:v>2391400</x:v>
      </x:c>
      <x:c r="I30" s="61" t="n">
        <x:f>G30-H30</x:f>
        <x:v>-2391400</x:v>
      </x:c>
      <x:c r="J30" s="61" t="n">
        <x:f>J29+I30</x:f>
        <x:v>459886390</x:v>
      </x:c>
      <x:c r="K30" s="50" t="str">
        <x:v>HDMH-MAU-010</x:v>
      </x:c>
    </x:row>
    <x:row r="31">
      <x:c r="A31" s="55" t="n">
        <x:v>46120</x:v>
      </x:c>
      <x:c r="B31" s="49" t="str">
        <x:v>PT-0016</x:v>
      </x:c>
      <x:c r="C31" s="49" t="str">
        <x:v>Thu</x:v>
      </x:c>
      <x:c r="D31" s="49" t="str">
        <x:v>Bán hàng</x:v>
      </x:c>
      <x:c r="E31" s="49" t="str">
        <x:v>Doanh thu bán hàng trong ngày - tiền mặt</x:v>
      </x:c>
      <x:c r="F31" s="49" t="str">
        <x:v>Tiền mặt</x:v>
      </x:c>
      <x:c r="G31" s="58" t="n">
        <x:v>2348000</x:v>
      </x:c>
      <x:c r="H31" s="58" t="n">
        <x:v>0</x:v>
      </x:c>
      <x:c r="I31" s="61" t="n">
        <x:f>G31-H31</x:f>
        <x:v>2348000</x:v>
      </x:c>
      <x:c r="J31" s="61" t="n">
        <x:f>J30+I31</x:f>
        <x:v>462234390</x:v>
      </x:c>
      <x:c r="K31" s="50" t="str">
        <x:v>BH-20260408</x:v>
      </x:c>
    </x:row>
    <x:row r="32">
      <x:c r="A32" s="55" t="n">
        <x:v>46120</x:v>
      </x:c>
      <x:c r="B32" s="49" t="str">
        <x:v>PT-0017</x:v>
      </x:c>
      <x:c r="C32" s="49" t="str">
        <x:v>Thu</x:v>
      </x:c>
      <x:c r="D32" s="49" t="str">
        <x:v>Bán hàng</x:v>
      </x:c>
      <x:c r="E32" s="49" t="str">
        <x:v>Doanh thu bán hàng trong ngày - QR/chuyển khoản</x:v>
      </x:c>
      <x:c r="F32" s="49" t="str">
        <x:v>Ngân hàng</x:v>
      </x:c>
      <x:c r="G32" s="58" t="n">
        <x:v>3944950</x:v>
      </x:c>
      <x:c r="H32" s="58" t="n">
        <x:v>0</x:v>
      </x:c>
      <x:c r="I32" s="61" t="n">
        <x:f>G32-H32</x:f>
        <x:v>3944950</x:v>
      </x:c>
      <x:c r="J32" s="61" t="n">
        <x:f>J31+I32</x:f>
        <x:v>466179340</x:v>
      </x:c>
      <x:c r="K32" s="50" t="str">
        <x:v>BH-20260408</x:v>
      </x:c>
    </x:row>
    <x:row r="33">
      <x:c r="A33" s="55" t="n">
        <x:v>46121</x:v>
      </x:c>
      <x:c r="B33" s="49" t="str">
        <x:v>PT-0018</x:v>
      </x:c>
      <x:c r="C33" s="49" t="str">
        <x:v>Thu</x:v>
      </x:c>
      <x:c r="D33" s="49" t="str">
        <x:v>Bán hàng</x:v>
      </x:c>
      <x:c r="E33" s="49" t="str">
        <x:v>Doanh thu bán hàng trong ngày - tiền mặt</x:v>
      </x:c>
      <x:c r="F33" s="49" t="str">
        <x:v>Tiền mặt</x:v>
      </x:c>
      <x:c r="G33" s="58" t="n">
        <x:v>2562000</x:v>
      </x:c>
      <x:c r="H33" s="58" t="n">
        <x:v>0</x:v>
      </x:c>
      <x:c r="I33" s="61" t="n">
        <x:f>G33-H33</x:f>
        <x:v>2562000</x:v>
      </x:c>
      <x:c r="J33" s="61" t="n">
        <x:f>J32+I33</x:f>
        <x:v>468741340</x:v>
      </x:c>
      <x:c r="K33" s="50" t="str">
        <x:v>BH-20260409</x:v>
      </x:c>
    </x:row>
    <x:row r="34">
      <x:c r="A34" s="55" t="n">
        <x:v>46121</x:v>
      </x:c>
      <x:c r="B34" s="49" t="str">
        <x:v>PT-0019</x:v>
      </x:c>
      <x:c r="C34" s="49" t="str">
        <x:v>Thu</x:v>
      </x:c>
      <x:c r="D34" s="49" t="str">
        <x:v>Bán hàng</x:v>
      </x:c>
      <x:c r="E34" s="49" t="str">
        <x:v>Doanh thu bán hàng trong ngày - QR/chuyển khoản</x:v>
      </x:c>
      <x:c r="F34" s="49" t="str">
        <x:v>Ngân hàng</x:v>
      </x:c>
      <x:c r="G34" s="58" t="n">
        <x:v>4246000</x:v>
      </x:c>
      <x:c r="H34" s="58" t="n">
        <x:v>0</x:v>
      </x:c>
      <x:c r="I34" s="61" t="n">
        <x:f>G34-H34</x:f>
        <x:v>4246000</x:v>
      </x:c>
      <x:c r="J34" s="61" t="n">
        <x:f>J33+I34</x:f>
        <x:v>472987340</x:v>
      </x:c>
      <x:c r="K34" s="50" t="str">
        <x:v>BH-20260409</x:v>
      </x:c>
    </x:row>
    <x:row r="35">
      <x:c r="A35" s="55" t="n">
        <x:v>46122</x:v>
      </x:c>
      <x:c r="B35" s="49" t="str">
        <x:v>PC-0195</x:v>
      </x:c>
      <x:c r="C35" s="49" t="str">
        <x:v>Chi</x:v>
      </x:c>
      <x:c r="D35" s="49" t="str">
        <x:v>Tiền lương</x:v>
      </x:c>
      <x:c r="E35" s="49" t="str">
        <x:v>Lương và phụ cấp tháng 04/2026</x:v>
      </x:c>
      <x:c r="F35" s="49" t="str">
        <x:v>Ngân hàng</x:v>
      </x:c>
      <x:c r="G35" s="58" t="n">
        <x:v>0</x:v>
      </x:c>
      <x:c r="H35" s="58" t="n">
        <x:v>62000000</x:v>
      </x:c>
      <x:c r="I35" s="61" t="n">
        <x:f>G35-H35</x:f>
        <x:v>-62000000</x:v>
      </x:c>
      <x:c r="J35" s="61" t="n">
        <x:f>J34+I35</x:f>
        <x:v>410987340</x:v>
      </x:c>
      <x:c r="K35" s="50" t="str">
        <x:v>CP-LUONG-202604</x:v>
      </x:c>
    </x:row>
    <x:row r="36">
      <x:c r="A36" s="55" t="n">
        <x:v>46122</x:v>
      </x:c>
      <x:c r="B36" s="49" t="str">
        <x:v>PT-0020</x:v>
      </x:c>
      <x:c r="C36" s="49" t="str">
        <x:v>Thu</x:v>
      </x:c>
      <x:c r="D36" s="49" t="str">
        <x:v>Bán hàng</x:v>
      </x:c>
      <x:c r="E36" s="49" t="str">
        <x:v>Doanh thu bán hàng trong ngày - tiền mặt</x:v>
      </x:c>
      <x:c r="F36" s="49" t="str">
        <x:v>Tiền mặt</x:v>
      </x:c>
      <x:c r="G36" s="58" t="n">
        <x:v>2393000</x:v>
      </x:c>
      <x:c r="H36" s="58" t="n">
        <x:v>0</x:v>
      </x:c>
      <x:c r="I36" s="61" t="n">
        <x:f>G36-H36</x:f>
        <x:v>2393000</x:v>
      </x:c>
      <x:c r="J36" s="61" t="n">
        <x:f>J35+I36</x:f>
        <x:v>413380340</x:v>
      </x:c>
      <x:c r="K36" s="50" t="str">
        <x:v>BH-20260410</x:v>
      </x:c>
    </x:row>
    <x:row r="37">
      <x:c r="A37" s="55" t="n">
        <x:v>46122</x:v>
      </x:c>
      <x:c r="B37" s="49" t="str">
        <x:v>PT-0021</x:v>
      </x:c>
      <x:c r="C37" s="49" t="str">
        <x:v>Thu</x:v>
      </x:c>
      <x:c r="D37" s="49" t="str">
        <x:v>Bán hàng</x:v>
      </x:c>
      <x:c r="E37" s="49" t="str">
        <x:v>Doanh thu bán hàng trong ngày - QR/chuyển khoản</x:v>
      </x:c>
      <x:c r="F37" s="49" t="str">
        <x:v>Ngân hàng</x:v>
      </x:c>
      <x:c r="G37" s="58" t="n">
        <x:v>4045100</x:v>
      </x:c>
      <x:c r="H37" s="58" t="n">
        <x:v>0</x:v>
      </x:c>
      <x:c r="I37" s="61" t="n">
        <x:f>G37-H37</x:f>
        <x:v>4045100</x:v>
      </x:c>
      <x:c r="J37" s="61" t="n">
        <x:f>J36+I37</x:f>
        <x:v>417425440</x:v>
      </x:c>
      <x:c r="K37" s="50" t="str">
        <x:v>BH-20260410</x:v>
      </x:c>
    </x:row>
    <x:row r="38">
      <x:c r="A38" s="55" t="n">
        <x:v>46123</x:v>
      </x:c>
      <x:c r="B38" s="49" t="str">
        <x:v>PT-0022</x:v>
      </x:c>
      <x:c r="C38" s="49" t="str">
        <x:v>Thu</x:v>
      </x:c>
      <x:c r="D38" s="49" t="str">
        <x:v>Bán hàng</x:v>
      </x:c>
      <x:c r="E38" s="49" t="str">
        <x:v>Doanh thu bán hàng trong ngày - tiền mặt</x:v>
      </x:c>
      <x:c r="F38" s="49" t="str">
        <x:v>Tiền mặt</x:v>
      </x:c>
      <x:c r="G38" s="58" t="n">
        <x:v>2696000</x:v>
      </x:c>
      <x:c r="H38" s="58" t="n">
        <x:v>0</x:v>
      </x:c>
      <x:c r="I38" s="61" t="n">
        <x:f>G38-H38</x:f>
        <x:v>2696000</x:v>
      </x:c>
      <x:c r="J38" s="61" t="n">
        <x:f>J37+I38</x:f>
        <x:v>420121440</x:v>
      </x:c>
      <x:c r="K38" s="50" t="str">
        <x:v>BH-20260411</x:v>
      </x:c>
    </x:row>
    <x:row r="39">
      <x:c r="A39" s="55" t="n">
        <x:v>46123</x:v>
      </x:c>
      <x:c r="B39" s="49" t="str">
        <x:v>PT-0023</x:v>
      </x:c>
      <x:c r="C39" s="49" t="str">
        <x:v>Thu</x:v>
      </x:c>
      <x:c r="D39" s="49" t="str">
        <x:v>Bán hàng</x:v>
      </x:c>
      <x:c r="E39" s="49" t="str">
        <x:v>Doanh thu bán hàng trong ngày - QR/chuyển khoản</x:v>
      </x:c>
      <x:c r="F39" s="49" t="str">
        <x:v>Ngân hàng</x:v>
      </x:c>
      <x:c r="G39" s="58" t="n">
        <x:v>6142550</x:v>
      </x:c>
      <x:c r="H39" s="58" t="n">
        <x:v>0</x:v>
      </x:c>
      <x:c r="I39" s="61" t="n">
        <x:f>G39-H39</x:f>
        <x:v>6142550</x:v>
      </x:c>
      <x:c r="J39" s="61" t="n">
        <x:f>J38+I39</x:f>
        <x:v>426263990</x:v>
      </x:c>
      <x:c r="K39" s="50" t="str">
        <x:v>BH-20260411</x:v>
      </x:c>
    </x:row>
    <x:row r="40">
      <x:c r="A40" s="55" t="n">
        <x:v>46124</x:v>
      </x:c>
      <x:c r="B40" s="49" t="str">
        <x:v>PT-0024</x:v>
      </x:c>
      <x:c r="C40" s="49" t="str">
        <x:v>Thu</x:v>
      </x:c>
      <x:c r="D40" s="49" t="str">
        <x:v>Bán hàng</x:v>
      </x:c>
      <x:c r="E40" s="49" t="str">
        <x:v>Doanh thu bán hàng trong ngày - tiền mặt</x:v>
      </x:c>
      <x:c r="F40" s="49" t="str">
        <x:v>Tiền mặt</x:v>
      </x:c>
      <x:c r="G40" s="58" t="n">
        <x:v>2916000</x:v>
      </x:c>
      <x:c r="H40" s="58" t="n">
        <x:v>0</x:v>
      </x:c>
      <x:c r="I40" s="61" t="n">
        <x:f>G40-H40</x:f>
        <x:v>2916000</x:v>
      </x:c>
      <x:c r="J40" s="61" t="n">
        <x:f>J39+I40</x:f>
        <x:v>429179990</x:v>
      </x:c>
      <x:c r="K40" s="50" t="str">
        <x:v>BH-20260412</x:v>
      </x:c>
    </x:row>
    <x:row r="41">
      <x:c r="A41" s="55" t="n">
        <x:v>46124</x:v>
      </x:c>
      <x:c r="B41" s="49" t="str">
        <x:v>PT-0025</x:v>
      </x:c>
      <x:c r="C41" s="49" t="str">
        <x:v>Thu</x:v>
      </x:c>
      <x:c r="D41" s="49" t="str">
        <x:v>Bán hàng</x:v>
      </x:c>
      <x:c r="E41" s="49" t="str">
        <x:v>Doanh thu bán hàng trong ngày - QR/chuyển khoản</x:v>
      </x:c>
      <x:c r="F41" s="49" t="str">
        <x:v>Ngân hàng</x:v>
      </x:c>
      <x:c r="G41" s="58" t="n">
        <x:v>5123150</x:v>
      </x:c>
      <x:c r="H41" s="58" t="n">
        <x:v>0</x:v>
      </x:c>
      <x:c r="I41" s="61" t="n">
        <x:f>G41-H41</x:f>
        <x:v>5123150</x:v>
      </x:c>
      <x:c r="J41" s="61" t="n">
        <x:f>J40+I41</x:f>
        <x:v>434303140</x:v>
      </x:c>
      <x:c r="K41" s="50" t="str">
        <x:v>BH-20260412</x:v>
      </x:c>
    </x:row>
    <x:row r="42">
      <x:c r="A42" s="55" t="n">
        <x:v>46125</x:v>
      </x:c>
      <x:c r="B42" s="49" t="str">
        <x:v>PT-0026</x:v>
      </x:c>
      <x:c r="C42" s="49" t="str">
        <x:v>Thu</x:v>
      </x:c>
      <x:c r="D42" s="49" t="str">
        <x:v>Bán hàng</x:v>
      </x:c>
      <x:c r="E42" s="49" t="str">
        <x:v>Doanh thu bán hàng trong ngày - tiền mặt</x:v>
      </x:c>
      <x:c r="F42" s="49" t="str">
        <x:v>Tiền mặt</x:v>
      </x:c>
      <x:c r="G42" s="58" t="n">
        <x:v>2305000</x:v>
      </x:c>
      <x:c r="H42" s="58" t="n">
        <x:v>0</x:v>
      </x:c>
      <x:c r="I42" s="61" t="n">
        <x:f>G42-H42</x:f>
        <x:v>2305000</x:v>
      </x:c>
      <x:c r="J42" s="61" t="n">
        <x:f>J41+I42</x:f>
        <x:v>436608140</x:v>
      </x:c>
      <x:c r="K42" s="50" t="str">
        <x:v>BH-20260413</x:v>
      </x:c>
    </x:row>
    <x:row r="43">
      <x:c r="A43" s="55" t="n">
        <x:v>46125</x:v>
      </x:c>
      <x:c r="B43" s="49" t="str">
        <x:v>PT-0027</x:v>
      </x:c>
      <x:c r="C43" s="49" t="str">
        <x:v>Thu</x:v>
      </x:c>
      <x:c r="D43" s="49" t="str">
        <x:v>Bán hàng</x:v>
      </x:c>
      <x:c r="E43" s="49" t="str">
        <x:v>Doanh thu bán hàng trong ngày - QR/chuyển khoản</x:v>
      </x:c>
      <x:c r="F43" s="49" t="str">
        <x:v>Ngân hàng</x:v>
      </x:c>
      <x:c r="G43" s="58" t="n">
        <x:v>4169700</x:v>
      </x:c>
      <x:c r="H43" s="58" t="n">
        <x:v>0</x:v>
      </x:c>
      <x:c r="I43" s="61" t="n">
        <x:f>G43-H43</x:f>
        <x:v>4169700</x:v>
      </x:c>
      <x:c r="J43" s="61" t="n">
        <x:f>J42+I43</x:f>
        <x:v>440777840</x:v>
      </x:c>
      <x:c r="K43" s="50" t="str">
        <x:v>BH-20260413</x:v>
      </x:c>
    </x:row>
    <x:row r="44">
      <x:c r="A44" s="55" t="n">
        <x:v>46126</x:v>
      </x:c>
      <x:c r="B44" s="49" t="str">
        <x:v>PT-0028</x:v>
      </x:c>
      <x:c r="C44" s="49" t="str">
        <x:v>Thu</x:v>
      </x:c>
      <x:c r="D44" s="49" t="str">
        <x:v>Bán hàng</x:v>
      </x:c>
      <x:c r="E44" s="49" t="str">
        <x:v>Doanh thu bán hàng trong ngày - tiền mặt</x:v>
      </x:c>
      <x:c r="F44" s="49" t="str">
        <x:v>Tiền mặt</x:v>
      </x:c>
      <x:c r="G44" s="58" t="n">
        <x:v>2091000</x:v>
      </x:c>
      <x:c r="H44" s="58" t="n">
        <x:v>0</x:v>
      </x:c>
      <x:c r="I44" s="61" t="n">
        <x:f>G44-H44</x:f>
        <x:v>2091000</x:v>
      </x:c>
      <x:c r="J44" s="61" t="n">
        <x:f>J43+I44</x:f>
        <x:v>442868840</x:v>
      </x:c>
      <x:c r="K44" s="50" t="str">
        <x:v>BH-20260414</x:v>
      </x:c>
    </x:row>
    <x:row r="45">
      <x:c r="A45" s="55" t="n">
        <x:v>46126</x:v>
      </x:c>
      <x:c r="B45" s="49" t="str">
        <x:v>PT-0029</x:v>
      </x:c>
      <x:c r="C45" s="49" t="str">
        <x:v>Thu</x:v>
      </x:c>
      <x:c r="D45" s="49" t="str">
        <x:v>Bán hàng</x:v>
      </x:c>
      <x:c r="E45" s="49" t="str">
        <x:v>Doanh thu bán hàng trong ngày - QR/chuyển khoản</x:v>
      </x:c>
      <x:c r="F45" s="49" t="str">
        <x:v>Ngân hàng</x:v>
      </x:c>
      <x:c r="G45" s="58" t="n">
        <x:v>4275800</x:v>
      </x:c>
      <x:c r="H45" s="58" t="n">
        <x:v>0</x:v>
      </x:c>
      <x:c r="I45" s="61" t="n">
        <x:f>G45-H45</x:f>
        <x:v>4275800</x:v>
      </x:c>
      <x:c r="J45" s="61" t="n">
        <x:f>J44+I45</x:f>
        <x:v>447144640</x:v>
      </x:c>
      <x:c r="K45" s="50" t="str">
        <x:v>BH-20260414</x:v>
      </x:c>
    </x:row>
    <x:row r="46">
      <x:c r="A46" s="55" t="n">
        <x:v>46127</x:v>
      </x:c>
      <x:c r="B46" s="49" t="str">
        <x:v>PC-0196</x:v>
      </x:c>
      <x:c r="C46" s="49" t="str">
        <x:v>Chi</x:v>
      </x:c>
      <x:c r="D46" s="49" t="str">
        <x:v>Điện nước</x:v>
      </x:c>
      <x:c r="E46" s="49" t="str">
        <x:v>Điện, nước, internet tháng 04/2026</x:v>
      </x:c>
      <x:c r="F46" s="49" t="str">
        <x:v>Ngân hàng</x:v>
      </x:c>
      <x:c r="G46" s="58" t="n">
        <x:v>0</x:v>
      </x:c>
      <x:c r="H46" s="58" t="n">
        <x:v>14666300</x:v>
      </x:c>
      <x:c r="I46" s="61" t="n">
        <x:f>G46-H46</x:f>
        <x:v>-14666300</x:v>
      </x:c>
      <x:c r="J46" s="61" t="n">
        <x:f>J45+I46</x:f>
        <x:v>432478340</x:v>
      </x:c>
      <x:c r="K46" s="50" t="str">
        <x:v>CP-DIENNUOC-202604</x:v>
      </x:c>
    </x:row>
    <x:row r="47">
      <x:c r="A47" s="55" t="n">
        <x:v>46127</x:v>
      </x:c>
      <x:c r="B47" s="49" t="str">
        <x:v>PC-0197</x:v>
      </x:c>
      <x:c r="C47" s="49" t="str">
        <x:v>Chi</x:v>
      </x:c>
      <x:c r="D47" s="49" t="str">
        <x:v>Cà phê hạt</x:v>
      </x:c>
      <x:c r="E47" s="49" t="str">
        <x:v>Cà phê hạt rang</x:v>
      </x:c>
      <x:c r="F47" s="49" t="str">
        <x:v>Ngân hàng</x:v>
      </x:c>
      <x:c r="G47" s="58" t="n">
        <x:v>0</x:v>
      </x:c>
      <x:c r="H47" s="58" t="n">
        <x:v>7806240</x:v>
      </x:c>
      <x:c r="I47" s="61" t="n">
        <x:f>G47-H47</x:f>
        <x:v>-7806240</x:v>
      </x:c>
      <x:c r="J47" s="61" t="n">
        <x:f>J46+I47</x:f>
        <x:v>424672100</x:v>
      </x:c>
      <x:c r="K47" s="50" t="str">
        <x:v>HDMH-MAU-011</x:v>
      </x:c>
    </x:row>
    <x:row r="48">
      <x:c r="A48" s="55" t="n">
        <x:v>46127</x:v>
      </x:c>
      <x:c r="B48" s="49" t="str">
        <x:v>PC-0198</x:v>
      </x:c>
      <x:c r="C48" s="49" t="str">
        <x:v>Chi</x:v>
      </x:c>
      <x:c r="D48" s="49" t="str">
        <x:v>Sữa và nguyên liệu</x:v>
      </x:c>
      <x:c r="E48" s="49" t="str">
        <x:v>Sữa tươi và sữa đặc</x:v>
      </x:c>
      <x:c r="F48" s="49" t="str">
        <x:v>Tiền mặt</x:v>
      </x:c>
      <x:c r="G48" s="58" t="n">
        <x:v>0</x:v>
      </x:c>
      <x:c r="H48" s="58" t="n">
        <x:v>6225120</x:v>
      </x:c>
      <x:c r="I48" s="61" t="n">
        <x:f>G48-H48</x:f>
        <x:v>-6225120</x:v>
      </x:c>
      <x:c r="J48" s="61" t="n">
        <x:f>J47+I48</x:f>
        <x:v>418446980</x:v>
      </x:c>
      <x:c r="K48" s="50" t="str">
        <x:v>HDMH-MAU-012</x:v>
      </x:c>
    </x:row>
    <x:row r="49">
      <x:c r="A49" s="55" t="n">
        <x:v>46127</x:v>
      </x:c>
      <x:c r="B49" s="49" t="str">
        <x:v>PC-0199</x:v>
      </x:c>
      <x:c r="C49" s="49" t="str">
        <x:v>Chi</x:v>
      </x:c>
      <x:c r="D49" s="49" t="str">
        <x:v>Bao bì</x:v>
      </x:c>
      <x:c r="E49" s="49" t="str">
        <x:v>Cốc, nắp và túi mang đi</x:v>
      </x:c>
      <x:c r="F49" s="49" t="str">
        <x:v>Ngân hàng</x:v>
      </x:c>
      <x:c r="G49" s="58" t="n">
        <x:v>0</x:v>
      </x:c>
      <x:c r="H49" s="58" t="n">
        <x:v>3156840</x:v>
      </x:c>
      <x:c r="I49" s="61" t="n">
        <x:f>G49-H49</x:f>
        <x:v>-3156840</x:v>
      </x:c>
      <x:c r="J49" s="61" t="n">
        <x:f>J48+I49</x:f>
        <x:v>415290140</x:v>
      </x:c>
      <x:c r="K49" s="50" t="str">
        <x:v>HDMH-MAU-013</x:v>
      </x:c>
    </x:row>
    <x:row r="50">
      <x:c r="A50" s="55" t="n">
        <x:v>46127</x:v>
      </x:c>
      <x:c r="B50" s="49" t="str">
        <x:v>PC-0200</x:v>
      </x:c>
      <x:c r="C50" s="49" t="str">
        <x:v>Chi</x:v>
      </x:c>
      <x:c r="D50" s="49" t="str">
        <x:v>Bánh</x:v>
      </x:c>
      <x:c r="E50" s="49" t="str">
        <x:v>Bánh ngọt giao tuần</x:v>
      </x:c>
      <x:c r="F50" s="49" t="str">
        <x:v>Tiền mặt</x:v>
      </x:c>
      <x:c r="G50" s="58" t="n">
        <x:v>0</x:v>
      </x:c>
      <x:c r="H50" s="58" t="n">
        <x:v>5167800</x:v>
      </x:c>
      <x:c r="I50" s="61" t="n">
        <x:f>G50-H50</x:f>
        <x:v>-5167800</x:v>
      </x:c>
      <x:c r="J50" s="61" t="n">
        <x:f>J49+I50</x:f>
        <x:v>410122340</x:v>
      </x:c>
      <x:c r="K50" s="50" t="str">
        <x:v>HDMH-MAU-014</x:v>
      </x:c>
    </x:row>
    <x:row r="51">
      <x:c r="A51" s="55" t="n">
        <x:v>46127</x:v>
      </x:c>
      <x:c r="B51" s="49" t="str">
        <x:v>PC-0201</x:v>
      </x:c>
      <x:c r="C51" s="49" t="str">
        <x:v>Chi</x:v>
      </x:c>
      <x:c r="D51" s="49" t="str">
        <x:v>Marketing</x:v>
      </x:c>
      <x:c r="E51" s="49" t="str">
        <x:v>Quảng cáo mạng xã hội</x:v>
      </x:c>
      <x:c r="F51" s="49" t="str">
        <x:v>Ngân hàng</x:v>
      </x:c>
      <x:c r="G51" s="58" t="n">
        <x:v>0</x:v>
      </x:c>
      <x:c r="H51" s="58" t="n">
        <x:v>2401300</x:v>
      </x:c>
      <x:c r="I51" s="61" t="n">
        <x:f>G51-H51</x:f>
        <x:v>-2401300</x:v>
      </x:c>
      <x:c r="J51" s="61" t="n">
        <x:f>J50+I51</x:f>
        <x:v>407721040</x:v>
      </x:c>
      <x:c r="K51" s="50" t="str">
        <x:v>HDMH-MAU-015</x:v>
      </x:c>
    </x:row>
    <x:row r="52">
      <x:c r="A52" s="55" t="n">
        <x:v>46127</x:v>
      </x:c>
      <x:c r="B52" s="49" t="str">
        <x:v>PT-0030</x:v>
      </x:c>
      <x:c r="C52" s="49" t="str">
        <x:v>Thu</x:v>
      </x:c>
      <x:c r="D52" s="49" t="str">
        <x:v>Bán hàng</x:v>
      </x:c>
      <x:c r="E52" s="49" t="str">
        <x:v>Doanh thu bán hàng trong ngày - tiền mặt</x:v>
      </x:c>
      <x:c r="F52" s="49" t="str">
        <x:v>Tiền mặt</x:v>
      </x:c>
      <x:c r="G52" s="58" t="n">
        <x:v>2357000</x:v>
      </x:c>
      <x:c r="H52" s="58" t="n">
        <x:v>0</x:v>
      </x:c>
      <x:c r="I52" s="61" t="n">
        <x:f>G52-H52</x:f>
        <x:v>2357000</x:v>
      </x:c>
      <x:c r="J52" s="61" t="n">
        <x:f>J51+I52</x:f>
        <x:v>410078040</x:v>
      </x:c>
      <x:c r="K52" s="50" t="str">
        <x:v>BH-20260415</x:v>
      </x:c>
    </x:row>
    <x:row r="53">
      <x:c r="A53" s="55" t="n">
        <x:v>46127</x:v>
      </x:c>
      <x:c r="B53" s="49" t="str">
        <x:v>PT-0031</x:v>
      </x:c>
      <x:c r="C53" s="49" t="str">
        <x:v>Thu</x:v>
      </x:c>
      <x:c r="D53" s="49" t="str">
        <x:v>Bán hàng</x:v>
      </x:c>
      <x:c r="E53" s="49" t="str">
        <x:v>Doanh thu bán hàng trong ngày - QR/chuyển khoản</x:v>
      </x:c>
      <x:c r="F53" s="49" t="str">
        <x:v>Ngân hàng</x:v>
      </x:c>
      <x:c r="G53" s="58" t="n">
        <x:v>4272750</x:v>
      </x:c>
      <x:c r="H53" s="58" t="n">
        <x:v>0</x:v>
      </x:c>
      <x:c r="I53" s="61" t="n">
        <x:f>G53-H53</x:f>
        <x:v>4272750</x:v>
      </x:c>
      <x:c r="J53" s="61" t="n">
        <x:f>J52+I53</x:f>
        <x:v>414350790</x:v>
      </x:c>
      <x:c r="K53" s="50" t="str">
        <x:v>BH-20260415</x:v>
      </x:c>
    </x:row>
    <x:row r="54">
      <x:c r="A54" s="55" t="n">
        <x:v>46128</x:v>
      </x:c>
      <x:c r="B54" s="49" t="str">
        <x:v>PT-0032</x:v>
      </x:c>
      <x:c r="C54" s="49" t="str">
        <x:v>Thu</x:v>
      </x:c>
      <x:c r="D54" s="49" t="str">
        <x:v>Bán hàng</x:v>
      </x:c>
      <x:c r="E54" s="49" t="str">
        <x:v>Doanh thu bán hàng trong ngày - tiền mặt</x:v>
      </x:c>
      <x:c r="F54" s="49" t="str">
        <x:v>Tiền mặt</x:v>
      </x:c>
      <x:c r="G54" s="58" t="n">
        <x:v>2290000</x:v>
      </x:c>
      <x:c r="H54" s="58" t="n">
        <x:v>0</x:v>
      </x:c>
      <x:c r="I54" s="61" t="n">
        <x:f>G54-H54</x:f>
        <x:v>2290000</x:v>
      </x:c>
      <x:c r="J54" s="61" t="n">
        <x:f>J53+I54</x:f>
        <x:v>416640790</x:v>
      </x:c>
      <x:c r="K54" s="50" t="str">
        <x:v>BH-20260416</x:v>
      </x:c>
    </x:row>
    <x:row r="55">
      <x:c r="A55" s="55" t="n">
        <x:v>46128</x:v>
      </x:c>
      <x:c r="B55" s="49" t="str">
        <x:v>PT-0033</x:v>
      </x:c>
      <x:c r="C55" s="49" t="str">
        <x:v>Thu</x:v>
      </x:c>
      <x:c r="D55" s="49" t="str">
        <x:v>Bán hàng</x:v>
      </x:c>
      <x:c r="E55" s="49" t="str">
        <x:v>Doanh thu bán hàng trong ngày - QR/chuyển khoản</x:v>
      </x:c>
      <x:c r="F55" s="49" t="str">
        <x:v>Ngân hàng</x:v>
      </x:c>
      <x:c r="G55" s="58" t="n">
        <x:v>4361600</x:v>
      </x:c>
      <x:c r="H55" s="58" t="n">
        <x:v>0</x:v>
      </x:c>
      <x:c r="I55" s="61" t="n">
        <x:f>G55-H55</x:f>
        <x:v>4361600</x:v>
      </x:c>
      <x:c r="J55" s="61" t="n">
        <x:f>J54+I55</x:f>
        <x:v>421002390</x:v>
      </x:c>
      <x:c r="K55" s="50" t="str">
        <x:v>BH-20260416</x:v>
      </x:c>
    </x:row>
    <x:row r="56">
      <x:c r="A56" s="55" t="n">
        <x:v>46129</x:v>
      </x:c>
      <x:c r="B56" s="49" t="str">
        <x:v>PT-0034</x:v>
      </x:c>
      <x:c r="C56" s="49" t="str">
        <x:v>Thu</x:v>
      </x:c>
      <x:c r="D56" s="49" t="str">
        <x:v>Bán hàng</x:v>
      </x:c>
      <x:c r="E56" s="49" t="str">
        <x:v>Doanh thu bán hàng trong ngày - tiền mặt</x:v>
      </x:c>
      <x:c r="F56" s="49" t="str">
        <x:v>Tiền mặt</x:v>
      </x:c>
      <x:c r="G56" s="58" t="n">
        <x:v>1880000</x:v>
      </x:c>
      <x:c r="H56" s="58" t="n">
        <x:v>0</x:v>
      </x:c>
      <x:c r="I56" s="61" t="n">
        <x:f>G56-H56</x:f>
        <x:v>1880000</x:v>
      </x:c>
      <x:c r="J56" s="61" t="n">
        <x:f>J55+I56</x:f>
        <x:v>422882390</x:v>
      </x:c>
      <x:c r="K56" s="50" t="str">
        <x:v>BH-20260417</x:v>
      </x:c>
    </x:row>
    <x:row r="57">
      <x:c r="A57" s="55" t="n">
        <x:v>46129</x:v>
      </x:c>
      <x:c r="B57" s="49" t="str">
        <x:v>PT-0035</x:v>
      </x:c>
      <x:c r="C57" s="49" t="str">
        <x:v>Thu</x:v>
      </x:c>
      <x:c r="D57" s="49" t="str">
        <x:v>Bán hàng</x:v>
      </x:c>
      <x:c r="E57" s="49" t="str">
        <x:v>Doanh thu bán hàng trong ngày - QR/chuyển khoản</x:v>
      </x:c>
      <x:c r="F57" s="49" t="str">
        <x:v>Ngân hàng</x:v>
      </x:c>
      <x:c r="G57" s="58" t="n">
        <x:v>3975250</x:v>
      </x:c>
      <x:c r="H57" s="58" t="n">
        <x:v>0</x:v>
      </x:c>
      <x:c r="I57" s="61" t="n">
        <x:f>G57-H57</x:f>
        <x:v>3975250</x:v>
      </x:c>
      <x:c r="J57" s="61" t="n">
        <x:f>J56+I57</x:f>
        <x:v>426857640</x:v>
      </x:c>
      <x:c r="K57" s="50" t="str">
        <x:v>BH-20260417</x:v>
      </x:c>
    </x:row>
    <x:row r="58">
      <x:c r="A58" s="55" t="n">
        <x:v>46130</x:v>
      </x:c>
      <x:c r="B58" s="49" t="str">
        <x:v>PT-0036</x:v>
      </x:c>
      <x:c r="C58" s="49" t="str">
        <x:v>Thu</x:v>
      </x:c>
      <x:c r="D58" s="49" t="str">
        <x:v>Bán hàng</x:v>
      </x:c>
      <x:c r="E58" s="49" t="str">
        <x:v>Doanh thu bán hàng trong ngày - tiền mặt</x:v>
      </x:c>
      <x:c r="F58" s="49" t="str">
        <x:v>Tiền mặt</x:v>
      </x:c>
      <x:c r="G58" s="58" t="n">
        <x:v>2698000</x:v>
      </x:c>
      <x:c r="H58" s="58" t="n">
        <x:v>0</x:v>
      </x:c>
      <x:c r="I58" s="61" t="n">
        <x:f>G58-H58</x:f>
        <x:v>2698000</x:v>
      </x:c>
      <x:c r="J58" s="61" t="n">
        <x:f>J57+I58</x:f>
        <x:v>429555640</x:v>
      </x:c>
      <x:c r="K58" s="50" t="str">
        <x:v>BH-20260418</x:v>
      </x:c>
    </x:row>
    <x:row r="59">
      <x:c r="A59" s="55" t="n">
        <x:v>46130</x:v>
      </x:c>
      <x:c r="B59" s="49" t="str">
        <x:v>PT-0037</x:v>
      </x:c>
      <x:c r="C59" s="49" t="str">
        <x:v>Thu</x:v>
      </x:c>
      <x:c r="D59" s="49" t="str">
        <x:v>Bán hàng</x:v>
      </x:c>
      <x:c r="E59" s="49" t="str">
        <x:v>Doanh thu bán hàng trong ngày - QR/chuyển khoản</x:v>
      </x:c>
      <x:c r="F59" s="49" t="str">
        <x:v>Ngân hàng</x:v>
      </x:c>
      <x:c r="G59" s="58" t="n">
        <x:v>6101600</x:v>
      </x:c>
      <x:c r="H59" s="58" t="n">
        <x:v>0</x:v>
      </x:c>
      <x:c r="I59" s="61" t="n">
        <x:f>G59-H59</x:f>
        <x:v>6101600</x:v>
      </x:c>
      <x:c r="J59" s="61" t="n">
        <x:f>J58+I59</x:f>
        <x:v>435657240</x:v>
      </x:c>
      <x:c r="K59" s="50" t="str">
        <x:v>BH-20260418</x:v>
      </x:c>
    </x:row>
    <x:row r="60">
      <x:c r="A60" s="55" t="n">
        <x:v>46131</x:v>
      </x:c>
      <x:c r="B60" s="49" t="str">
        <x:v>PT-0038</x:v>
      </x:c>
      <x:c r="C60" s="49" t="str">
        <x:v>Thu</x:v>
      </x:c>
      <x:c r="D60" s="49" t="str">
        <x:v>Bán hàng</x:v>
      </x:c>
      <x:c r="E60" s="49" t="str">
        <x:v>Doanh thu bán hàng trong ngày - tiền mặt</x:v>
      </x:c>
      <x:c r="F60" s="49" t="str">
        <x:v>Tiền mặt</x:v>
      </x:c>
      <x:c r="G60" s="58" t="n">
        <x:v>2458000</x:v>
      </x:c>
      <x:c r="H60" s="58" t="n">
        <x:v>0</x:v>
      </x:c>
      <x:c r="I60" s="61" t="n">
        <x:f>G60-H60</x:f>
        <x:v>2458000</x:v>
      </x:c>
      <x:c r="J60" s="61" t="n">
        <x:f>J59+I60</x:f>
        <x:v>438115240</x:v>
      </x:c>
      <x:c r="K60" s="50" t="str">
        <x:v>BH-20260419</x:v>
      </x:c>
    </x:row>
    <x:row r="61">
      <x:c r="A61" s="55" t="n">
        <x:v>46131</x:v>
      </x:c>
      <x:c r="B61" s="49" t="str">
        <x:v>PT-0039</x:v>
      </x:c>
      <x:c r="C61" s="49" t="str">
        <x:v>Thu</x:v>
      </x:c>
      <x:c r="D61" s="49" t="str">
        <x:v>Bán hàng</x:v>
      </x:c>
      <x:c r="E61" s="49" t="str">
        <x:v>Doanh thu bán hàng trong ngày - QR/chuyển khoản</x:v>
      </x:c>
      <x:c r="F61" s="49" t="str">
        <x:v>Ngân hàng</x:v>
      </x:c>
      <x:c r="G61" s="58" t="n">
        <x:v>5589800</x:v>
      </x:c>
      <x:c r="H61" s="58" t="n">
        <x:v>0</x:v>
      </x:c>
      <x:c r="I61" s="61" t="n">
        <x:f>G61-H61</x:f>
        <x:v>5589800</x:v>
      </x:c>
      <x:c r="J61" s="61" t="n">
        <x:f>J60+I61</x:f>
        <x:v>443705040</x:v>
      </x:c>
      <x:c r="K61" s="50" t="str">
        <x:v>BH-20260419</x:v>
      </x:c>
    </x:row>
    <x:row r="62">
      <x:c r="A62" s="55" t="n">
        <x:v>46132</x:v>
      </x:c>
      <x:c r="B62" s="49" t="str">
        <x:v>PC-0202</x:v>
      </x:c>
      <x:c r="C62" s="49" t="str">
        <x:v>Chi</x:v>
      </x:c>
      <x:c r="D62" s="49" t="str">
        <x:v>Phần mềm</x:v>
      </x:c>
      <x:c r="E62" s="49" t="str">
        <x:v>POS và phần mềm tháng 04/2026</x:v>
      </x:c>
      <x:c r="F62" s="49" t="str">
        <x:v>Ngân hàng</x:v>
      </x:c>
      <x:c r="G62" s="58" t="n">
        <x:v>0</x:v>
      </x:c>
      <x:c r="H62" s="58" t="n">
        <x:v>1980000</x:v>
      </x:c>
      <x:c r="I62" s="61" t="n">
        <x:f>G62-H62</x:f>
        <x:v>-1980000</x:v>
      </x:c>
      <x:c r="J62" s="61" t="n">
        <x:f>J61+I62</x:f>
        <x:v>441725040</x:v>
      </x:c>
      <x:c r="K62" s="50" t="str">
        <x:v>CP-PHANMEM-202604</x:v>
      </x:c>
    </x:row>
    <x:row r="63">
      <x:c r="A63" s="55" t="n">
        <x:v>46132</x:v>
      </x:c>
      <x:c r="B63" s="49" t="str">
        <x:v>PT-0040</x:v>
      </x:c>
      <x:c r="C63" s="49" t="str">
        <x:v>Thu</x:v>
      </x:c>
      <x:c r="D63" s="49" t="str">
        <x:v>Bán hàng</x:v>
      </x:c>
      <x:c r="E63" s="49" t="str">
        <x:v>Doanh thu bán hàng trong ngày - tiền mặt</x:v>
      </x:c>
      <x:c r="F63" s="49" t="str">
        <x:v>Tiền mặt</x:v>
      </x:c>
      <x:c r="G63" s="58" t="n">
        <x:v>2274000</x:v>
      </x:c>
      <x:c r="H63" s="58" t="n">
        <x:v>0</x:v>
      </x:c>
      <x:c r="I63" s="61" t="n">
        <x:f>G63-H63</x:f>
        <x:v>2274000</x:v>
      </x:c>
      <x:c r="J63" s="61" t="n">
        <x:f>J62+I63</x:f>
        <x:v>443999040</x:v>
      </x:c>
      <x:c r="K63" s="50" t="str">
        <x:v>BH-20260420</x:v>
      </x:c>
    </x:row>
    <x:row r="64">
      <x:c r="A64" s="55" t="n">
        <x:v>46132</x:v>
      </x:c>
      <x:c r="B64" s="49" t="str">
        <x:v>PT-0041</x:v>
      </x:c>
      <x:c r="C64" s="49" t="str">
        <x:v>Thu</x:v>
      </x:c>
      <x:c r="D64" s="49" t="str">
        <x:v>Bán hàng</x:v>
      </x:c>
      <x:c r="E64" s="49" t="str">
        <x:v>Doanh thu bán hàng trong ngày - QR/chuyển khoản</x:v>
      </x:c>
      <x:c r="F64" s="49" t="str">
        <x:v>Ngân hàng</x:v>
      </x:c>
      <x:c r="G64" s="58" t="n">
        <x:v>4520050</x:v>
      </x:c>
      <x:c r="H64" s="58" t="n">
        <x:v>0</x:v>
      </x:c>
      <x:c r="I64" s="61" t="n">
        <x:f>G64-H64</x:f>
        <x:v>4520050</x:v>
      </x:c>
      <x:c r="J64" s="61" t="n">
        <x:f>J63+I64</x:f>
        <x:v>448519090</x:v>
      </x:c>
      <x:c r="K64" s="50" t="str">
        <x:v>BH-20260420</x:v>
      </x:c>
    </x:row>
    <x:row r="65">
      <x:c r="A65" s="55" t="n">
        <x:v>46133</x:v>
      </x:c>
      <x:c r="B65" s="49" t="str">
        <x:v>PT-0042</x:v>
      </x:c>
      <x:c r="C65" s="49" t="str">
        <x:v>Thu</x:v>
      </x:c>
      <x:c r="D65" s="49" t="str">
        <x:v>Bán hàng</x:v>
      </x:c>
      <x:c r="E65" s="49" t="str">
        <x:v>Doanh thu bán hàng trong ngày - tiền mặt</x:v>
      </x:c>
      <x:c r="F65" s="49" t="str">
        <x:v>Tiền mặt</x:v>
      </x:c>
      <x:c r="G65" s="58" t="n">
        <x:v>2210000</x:v>
      </x:c>
      <x:c r="H65" s="58" t="n">
        <x:v>0</x:v>
      </x:c>
      <x:c r="I65" s="61" t="n">
        <x:f>G65-H65</x:f>
        <x:v>2210000</x:v>
      </x:c>
      <x:c r="J65" s="61" t="n">
        <x:f>J64+I65</x:f>
        <x:v>450729090</x:v>
      </x:c>
      <x:c r="K65" s="50" t="str">
        <x:v>BH-20260421</x:v>
      </x:c>
    </x:row>
    <x:row r="66">
      <x:c r="A66" s="55" t="n">
        <x:v>46133</x:v>
      </x:c>
      <x:c r="B66" s="49" t="str">
        <x:v>PT-0043</x:v>
      </x:c>
      <x:c r="C66" s="49" t="str">
        <x:v>Thu</x:v>
      </x:c>
      <x:c r="D66" s="49" t="str">
        <x:v>Bán hàng</x:v>
      </x:c>
      <x:c r="E66" s="49" t="str">
        <x:v>Doanh thu bán hàng trong ngày - QR/chuyển khoản</x:v>
      </x:c>
      <x:c r="F66" s="49" t="str">
        <x:v>Ngân hàng</x:v>
      </x:c>
      <x:c r="G66" s="58" t="n">
        <x:v>4274200</x:v>
      </x:c>
      <x:c r="H66" s="58" t="n">
        <x:v>0</x:v>
      </x:c>
      <x:c r="I66" s="61" t="n">
        <x:f>G66-H66</x:f>
        <x:v>4274200</x:v>
      </x:c>
      <x:c r="J66" s="61" t="n">
        <x:f>J65+I66</x:f>
        <x:v>455003290</x:v>
      </x:c>
      <x:c r="K66" s="50" t="str">
        <x:v>BH-20260421</x:v>
      </x:c>
    </x:row>
    <x:row r="67">
      <x:c r="A67" s="55" t="n">
        <x:v>46134</x:v>
      </x:c>
      <x:c r="B67" s="49" t="str">
        <x:v>PC-0203</x:v>
      </x:c>
      <x:c r="C67" s="49" t="str">
        <x:v>Chi</x:v>
      </x:c>
      <x:c r="D67" s="49" t="str">
        <x:v>Cà phê hạt</x:v>
      </x:c>
      <x:c r="E67" s="49" t="str">
        <x:v>Cà phê hạt rang</x:v>
      </x:c>
      <x:c r="F67" s="49" t="str">
        <x:v>Ngân hàng</x:v>
      </x:c>
      <x:c r="G67" s="58" t="n">
        <x:v>0</x:v>
      </x:c>
      <x:c r="H67" s="58" t="n">
        <x:v>7490880</x:v>
      </x:c>
      <x:c r="I67" s="61" t="n">
        <x:f>G67-H67</x:f>
        <x:v>-7490880</x:v>
      </x:c>
      <x:c r="J67" s="61" t="n">
        <x:f>J66+I67</x:f>
        <x:v>447512410</x:v>
      </x:c>
      <x:c r="K67" s="50" t="str">
        <x:v>HDMH-MAU-016</x:v>
      </x:c>
    </x:row>
    <x:row r="68">
      <x:c r="A68" s="55" t="n">
        <x:v>46134</x:v>
      </x:c>
      <x:c r="B68" s="49" t="str">
        <x:v>PC-0204</x:v>
      </x:c>
      <x:c r="C68" s="49" t="str">
        <x:v>Chi</x:v>
      </x:c>
      <x:c r="D68" s="49" t="str">
        <x:v>Sữa và nguyên liệu</x:v>
      </x:c>
      <x:c r="E68" s="49" t="str">
        <x:v>Sữa tươi và sữa đặc</x:v>
      </x:c>
      <x:c r="F68" s="49" t="str">
        <x:v>Tiền mặt</x:v>
      </x:c>
      <x:c r="G68" s="58" t="n">
        <x:v>0</x:v>
      </x:c>
      <x:c r="H68" s="58" t="n">
        <x:v>6023160</x:v>
      </x:c>
      <x:c r="I68" s="61" t="n">
        <x:f>G68-H68</x:f>
        <x:v>-6023160</x:v>
      </x:c>
      <x:c r="J68" s="61" t="n">
        <x:f>J67+I68</x:f>
        <x:v>441489250</x:v>
      </x:c>
      <x:c r="K68" s="50" t="str">
        <x:v>HDMH-MAU-017</x:v>
      </x:c>
    </x:row>
    <x:row r="69">
      <x:c r="A69" s="55" t="n">
        <x:v>46134</x:v>
      </x:c>
      <x:c r="B69" s="49" t="str">
        <x:v>PC-0205</x:v>
      </x:c>
      <x:c r="C69" s="49" t="str">
        <x:v>Chi</x:v>
      </x:c>
      <x:c r="D69" s="49" t="str">
        <x:v>Bao bì</x:v>
      </x:c>
      <x:c r="E69" s="49" t="str">
        <x:v>Cốc, nắp và túi mang đi</x:v>
      </x:c>
      <x:c r="F69" s="49" t="str">
        <x:v>Ngân hàng</x:v>
      </x:c>
      <x:c r="G69" s="58" t="n">
        <x:v>0</x:v>
      </x:c>
      <x:c r="H69" s="58" t="n">
        <x:v>3163320</x:v>
      </x:c>
      <x:c r="I69" s="61" t="n">
        <x:f>G69-H69</x:f>
        <x:v>-3163320</x:v>
      </x:c>
      <x:c r="J69" s="61" t="n">
        <x:f>J68+I69</x:f>
        <x:v>438325930</x:v>
      </x:c>
      <x:c r="K69" s="50" t="str">
        <x:v>HDMH-MAU-018</x:v>
      </x:c>
    </x:row>
    <x:row r="70">
      <x:c r="A70" s="55" t="n">
        <x:v>46134</x:v>
      </x:c>
      <x:c r="B70" s="49" t="str">
        <x:v>PC-0206</x:v>
      </x:c>
      <x:c r="C70" s="49" t="str">
        <x:v>Chi</x:v>
      </x:c>
      <x:c r="D70" s="49" t="str">
        <x:v>Bánh</x:v>
      </x:c>
      <x:c r="E70" s="49" t="str">
        <x:v>Bánh ngọt giao tuần</x:v>
      </x:c>
      <x:c r="F70" s="49" t="str">
        <x:v>Tiền mặt</x:v>
      </x:c>
      <x:c r="G70" s="58" t="n">
        <x:v>0</x:v>
      </x:c>
      <x:c r="H70" s="58" t="n">
        <x:v>5179680</x:v>
      </x:c>
      <x:c r="I70" s="61" t="n">
        <x:f>G70-H70</x:f>
        <x:v>-5179680</x:v>
      </x:c>
      <x:c r="J70" s="61" t="n">
        <x:f>J69+I70</x:f>
        <x:v>433146250</x:v>
      </x:c>
      <x:c r="K70" s="50" t="str">
        <x:v>HDMH-MAU-019</x:v>
      </x:c>
    </x:row>
    <x:row r="71">
      <x:c r="A71" s="55" t="n">
        <x:v>46134</x:v>
      </x:c>
      <x:c r="B71" s="49" t="str">
        <x:v>PC-0207</x:v>
      </x:c>
      <x:c r="C71" s="49" t="str">
        <x:v>Chi</x:v>
      </x:c>
      <x:c r="D71" s="49" t="str">
        <x:v>Marketing</x:v>
      </x:c>
      <x:c r="E71" s="49" t="str">
        <x:v>Quảng cáo mạng xã hội</x:v>
      </x:c>
      <x:c r="F71" s="49" t="str">
        <x:v>Ngân hàng</x:v>
      </x:c>
      <x:c r="G71" s="58" t="n">
        <x:v>0</x:v>
      </x:c>
      <x:c r="H71" s="58" t="n">
        <x:v>2447500</x:v>
      </x:c>
      <x:c r="I71" s="61" t="n">
        <x:f>G71-H71</x:f>
        <x:v>-2447500</x:v>
      </x:c>
      <x:c r="J71" s="61" t="n">
        <x:f>J70+I71</x:f>
        <x:v>430698750</x:v>
      </x:c>
      <x:c r="K71" s="50" t="str">
        <x:v>HDMH-MAU-020</x:v>
      </x:c>
    </x:row>
    <x:row r="72">
      <x:c r="A72" s="55" t="n">
        <x:v>46134</x:v>
      </x:c>
      <x:c r="B72" s="49" t="str">
        <x:v>PT-0044</x:v>
      </x:c>
      <x:c r="C72" s="49" t="str">
        <x:v>Thu</x:v>
      </x:c>
      <x:c r="D72" s="49" t="str">
        <x:v>Bán hàng</x:v>
      </x:c>
      <x:c r="E72" s="49" t="str">
        <x:v>Doanh thu bán hàng trong ngày - tiền mặt</x:v>
      </x:c>
      <x:c r="F72" s="49" t="str">
        <x:v>Tiền mặt</x:v>
      </x:c>
      <x:c r="G72" s="58" t="n">
        <x:v>2180000</x:v>
      </x:c>
      <x:c r="H72" s="58" t="n">
        <x:v>0</x:v>
      </x:c>
      <x:c r="I72" s="61" t="n">
        <x:f>G72-H72</x:f>
        <x:v>2180000</x:v>
      </x:c>
      <x:c r="J72" s="61" t="n">
        <x:f>J71+I72</x:f>
        <x:v>432878750</x:v>
      </x:c>
      <x:c r="K72" s="50" t="str">
        <x:v>BH-20260422</x:v>
      </x:c>
    </x:row>
    <x:row r="73">
      <x:c r="A73" s="55" t="n">
        <x:v>46134</x:v>
      </x:c>
      <x:c r="B73" s="49" t="str">
        <x:v>PT-0045</x:v>
      </x:c>
      <x:c r="C73" s="49" t="str">
        <x:v>Thu</x:v>
      </x:c>
      <x:c r="D73" s="49" t="str">
        <x:v>Bán hàng</x:v>
      </x:c>
      <x:c r="E73" s="49" t="str">
        <x:v>Doanh thu bán hàng trong ngày - QR/chuyển khoản</x:v>
      </x:c>
      <x:c r="F73" s="49" t="str">
        <x:v>Ngân hàng</x:v>
      </x:c>
      <x:c r="G73" s="58" t="n">
        <x:v>4560050</x:v>
      </x:c>
      <x:c r="H73" s="58" t="n">
        <x:v>0</x:v>
      </x:c>
      <x:c r="I73" s="61" t="n">
        <x:f>G73-H73</x:f>
        <x:v>4560050</x:v>
      </x:c>
      <x:c r="J73" s="61" t="n">
        <x:f>J72+I73</x:f>
        <x:v>437438800</x:v>
      </x:c>
      <x:c r="K73" s="50" t="str">
        <x:v>BH-20260422</x:v>
      </x:c>
    </x:row>
    <x:row r="74">
      <x:c r="A74" s="55" t="n">
        <x:v>46135</x:v>
      </x:c>
      <x:c r="B74" s="49" t="str">
        <x:v>PT-0046</x:v>
      </x:c>
      <x:c r="C74" s="49" t="str">
        <x:v>Thu</x:v>
      </x:c>
      <x:c r="D74" s="49" t="str">
        <x:v>Bán hàng</x:v>
      </x:c>
      <x:c r="E74" s="49" t="str">
        <x:v>Doanh thu bán hàng trong ngày - tiền mặt</x:v>
      </x:c>
      <x:c r="F74" s="49" t="str">
        <x:v>Tiền mặt</x:v>
      </x:c>
      <x:c r="G74" s="58" t="n">
        <x:v>1991000</x:v>
      </x:c>
      <x:c r="H74" s="58" t="n">
        <x:v>0</x:v>
      </x:c>
      <x:c r="I74" s="61" t="n">
        <x:f>G74-H74</x:f>
        <x:v>1991000</x:v>
      </x:c>
      <x:c r="J74" s="61" t="n">
        <x:f>J73+I74</x:f>
        <x:v>439429800</x:v>
      </x:c>
      <x:c r="K74" s="50" t="str">
        <x:v>BH-20260423</x:v>
      </x:c>
    </x:row>
    <x:row r="75">
      <x:c r="A75" s="55" t="n">
        <x:v>46135</x:v>
      </x:c>
      <x:c r="B75" s="49" t="str">
        <x:v>PT-0047</x:v>
      </x:c>
      <x:c r="C75" s="49" t="str">
        <x:v>Thu</x:v>
      </x:c>
      <x:c r="D75" s="49" t="str">
        <x:v>Bán hàng</x:v>
      </x:c>
      <x:c r="E75" s="49" t="str">
        <x:v>Doanh thu bán hàng trong ngày - QR/chuyển khoản</x:v>
      </x:c>
      <x:c r="F75" s="49" t="str">
        <x:v>Ngân hàng</x:v>
      </x:c>
      <x:c r="G75" s="58" t="n">
        <x:v>4384350</x:v>
      </x:c>
      <x:c r="H75" s="58" t="n">
        <x:v>0</x:v>
      </x:c>
      <x:c r="I75" s="61" t="n">
        <x:f>G75-H75</x:f>
        <x:v>4384350</x:v>
      </x:c>
      <x:c r="J75" s="61" t="n">
        <x:f>J74+I75</x:f>
        <x:v>443814150</x:v>
      </x:c>
      <x:c r="K75" s="50" t="str">
        <x:v>BH-20260423</x:v>
      </x:c>
    </x:row>
    <x:row r="76">
      <x:c r="A76" s="55" t="n">
        <x:v>46136</x:v>
      </x:c>
      <x:c r="B76" s="49" t="str">
        <x:v>PT-0048</x:v>
      </x:c>
      <x:c r="C76" s="49" t="str">
        <x:v>Thu</x:v>
      </x:c>
      <x:c r="D76" s="49" t="str">
        <x:v>Bán hàng</x:v>
      </x:c>
      <x:c r="E76" s="49" t="str">
        <x:v>Doanh thu bán hàng trong ngày - tiền mặt</x:v>
      </x:c>
      <x:c r="F76" s="49" t="str">
        <x:v>Tiền mặt</x:v>
      </x:c>
      <x:c r="G76" s="58" t="n">
        <x:v>2259000</x:v>
      </x:c>
      <x:c r="H76" s="58" t="n">
        <x:v>0</x:v>
      </x:c>
      <x:c r="I76" s="61" t="n">
        <x:f>G76-H76</x:f>
        <x:v>2259000</x:v>
      </x:c>
      <x:c r="J76" s="61" t="n">
        <x:f>J75+I76</x:f>
        <x:v>446073150</x:v>
      </x:c>
      <x:c r="K76" s="50" t="str">
        <x:v>BH-20260424</x:v>
      </x:c>
    </x:row>
    <x:row r="77">
      <x:c r="A77" s="55" t="n">
        <x:v>46136</x:v>
      </x:c>
      <x:c r="B77" s="49" t="str">
        <x:v>PT-0049</x:v>
      </x:c>
      <x:c r="C77" s="49" t="str">
        <x:v>Thu</x:v>
      </x:c>
      <x:c r="D77" s="49" t="str">
        <x:v>Bán hàng</x:v>
      </x:c>
      <x:c r="E77" s="49" t="str">
        <x:v>Doanh thu bán hàng trong ngày - QR/chuyển khoản</x:v>
      </x:c>
      <x:c r="F77" s="49" t="str">
        <x:v>Ngân hàng</x:v>
      </x:c>
      <x:c r="G77" s="58" t="n">
        <x:v>4482400</x:v>
      </x:c>
      <x:c r="H77" s="58" t="n">
        <x:v>0</x:v>
      </x:c>
      <x:c r="I77" s="61" t="n">
        <x:f>G77-H77</x:f>
        <x:v>4482400</x:v>
      </x:c>
      <x:c r="J77" s="61" t="n">
        <x:f>J76+I77</x:f>
        <x:v>450555550</x:v>
      </x:c>
      <x:c r="K77" s="50" t="str">
        <x:v>BH-20260424</x:v>
      </x:c>
    </x:row>
    <x:row r="78">
      <x:c r="A78" s="55" t="n">
        <x:v>46137</x:v>
      </x:c>
      <x:c r="B78" s="49" t="str">
        <x:v>PT-0050</x:v>
      </x:c>
      <x:c r="C78" s="49" t="str">
        <x:v>Thu</x:v>
      </x:c>
      <x:c r="D78" s="49" t="str">
        <x:v>Bán hàng</x:v>
      </x:c>
      <x:c r="E78" s="49" t="str">
        <x:v>Doanh thu bán hàng trong ngày - tiền mặt</x:v>
      </x:c>
      <x:c r="F78" s="49" t="str">
        <x:v>Tiền mặt</x:v>
      </x:c>
      <x:c r="G78" s="58" t="n">
        <x:v>2873000</x:v>
      </x:c>
      <x:c r="H78" s="58" t="n">
        <x:v>0</x:v>
      </x:c>
      <x:c r="I78" s="61" t="n">
        <x:f>G78-H78</x:f>
        <x:v>2873000</x:v>
      </x:c>
      <x:c r="J78" s="61" t="n">
        <x:f>J77+I78</x:f>
        <x:v>453428550</x:v>
      </x:c>
      <x:c r="K78" s="50" t="str">
        <x:v>BH-20260425</x:v>
      </x:c>
    </x:row>
    <x:row r="79">
      <x:c r="A79" s="55" t="n">
        <x:v>46137</x:v>
      </x:c>
      <x:c r="B79" s="49" t="str">
        <x:v>PT-0051</x:v>
      </x:c>
      <x:c r="C79" s="49" t="str">
        <x:v>Thu</x:v>
      </x:c>
      <x:c r="D79" s="49" t="str">
        <x:v>Bán hàng</x:v>
      </x:c>
      <x:c r="E79" s="49" t="str">
        <x:v>Doanh thu bán hàng trong ngày - QR/chuyển khoản</x:v>
      </x:c>
      <x:c r="F79" s="49" t="str">
        <x:v>Ngân hàng</x:v>
      </x:c>
      <x:c r="G79" s="58" t="n">
        <x:v>5288050</x:v>
      </x:c>
      <x:c r="H79" s="58" t="n">
        <x:v>0</x:v>
      </x:c>
      <x:c r="I79" s="61" t="n">
        <x:f>G79-H79</x:f>
        <x:v>5288050</x:v>
      </x:c>
      <x:c r="J79" s="61" t="n">
        <x:f>J78+I79</x:f>
        <x:v>458716600</x:v>
      </x:c>
      <x:c r="K79" s="50" t="str">
        <x:v>BH-20260425</x:v>
      </x:c>
    </x:row>
    <x:row r="80">
      <x:c r="A80" s="55" t="n">
        <x:v>46138</x:v>
      </x:c>
      <x:c r="B80" s="49" t="str">
        <x:v>PT-0052</x:v>
      </x:c>
      <x:c r="C80" s="49" t="str">
        <x:v>Thu</x:v>
      </x:c>
      <x:c r="D80" s="49" t="str">
        <x:v>Bán hàng</x:v>
      </x:c>
      <x:c r="E80" s="49" t="str">
        <x:v>Doanh thu bán hàng trong ngày - tiền mặt</x:v>
      </x:c>
      <x:c r="F80" s="49" t="str">
        <x:v>Tiền mặt</x:v>
      </x:c>
      <x:c r="G80" s="58" t="n">
        <x:v>3172000</x:v>
      </x:c>
      <x:c r="H80" s="58" t="n">
        <x:v>0</x:v>
      </x:c>
      <x:c r="I80" s="61" t="n">
        <x:f>G80-H80</x:f>
        <x:v>3172000</x:v>
      </x:c>
      <x:c r="J80" s="61" t="n">
        <x:f>J79+I80</x:f>
        <x:v>461888600</x:v>
      </x:c>
      <x:c r="K80" s="50" t="str">
        <x:v>BH-20260426</x:v>
      </x:c>
    </x:row>
    <x:row r="81">
      <x:c r="A81" s="55" t="n">
        <x:v>46138</x:v>
      </x:c>
      <x:c r="B81" s="49" t="str">
        <x:v>PT-0053</x:v>
      </x:c>
      <x:c r="C81" s="49" t="str">
        <x:v>Thu</x:v>
      </x:c>
      <x:c r="D81" s="49" t="str">
        <x:v>Bán hàng</x:v>
      </x:c>
      <x:c r="E81" s="49" t="str">
        <x:v>Doanh thu bán hàng trong ngày - QR/chuyển khoản</x:v>
      </x:c>
      <x:c r="F81" s="49" t="str">
        <x:v>Ngân hàng</x:v>
      </x:c>
      <x:c r="G81" s="58" t="n">
        <x:v>5353800</x:v>
      </x:c>
      <x:c r="H81" s="58" t="n">
        <x:v>0</x:v>
      </x:c>
      <x:c r="I81" s="61" t="n">
        <x:f>G81-H81</x:f>
        <x:v>5353800</x:v>
      </x:c>
      <x:c r="J81" s="61" t="n">
        <x:f>J80+I81</x:f>
        <x:v>467242400</x:v>
      </x:c>
      <x:c r="K81" s="50" t="str">
        <x:v>BH-20260426</x:v>
      </x:c>
    </x:row>
    <x:row r="82">
      <x:c r="A82" s="55" t="n">
        <x:v>46139</x:v>
      </x:c>
      <x:c r="B82" s="49" t="str">
        <x:v>PT-0054</x:v>
      </x:c>
      <x:c r="C82" s="49" t="str">
        <x:v>Thu</x:v>
      </x:c>
      <x:c r="D82" s="49" t="str">
        <x:v>Bán hàng</x:v>
      </x:c>
      <x:c r="E82" s="49" t="str">
        <x:v>Doanh thu bán hàng trong ngày - tiền mặt</x:v>
      </x:c>
      <x:c r="F82" s="49" t="str">
        <x:v>Tiền mặt</x:v>
      </x:c>
      <x:c r="G82" s="58" t="n">
        <x:v>2402000</x:v>
      </x:c>
      <x:c r="H82" s="58" t="n">
        <x:v>0</x:v>
      </x:c>
      <x:c r="I82" s="61" t="n">
        <x:f>G82-H82</x:f>
        <x:v>2402000</x:v>
      </x:c>
      <x:c r="J82" s="61" t="n">
        <x:f>J81+I82</x:f>
        <x:v>469644400</x:v>
      </x:c>
      <x:c r="K82" s="50" t="str">
        <x:v>BH-20260427</x:v>
      </x:c>
    </x:row>
    <x:row r="83">
      <x:c r="A83" s="55" t="n">
        <x:v>46139</x:v>
      </x:c>
      <x:c r="B83" s="49" t="str">
        <x:v>PT-0055</x:v>
      </x:c>
      <x:c r="C83" s="49" t="str">
        <x:v>Thu</x:v>
      </x:c>
      <x:c r="D83" s="49" t="str">
        <x:v>Bán hàng</x:v>
      </x:c>
      <x:c r="E83" s="49" t="str">
        <x:v>Doanh thu bán hàng trong ngày - QR/chuyển khoản</x:v>
      </x:c>
      <x:c r="F83" s="49" t="str">
        <x:v>Ngân hàng</x:v>
      </x:c>
      <x:c r="G83" s="58" t="n">
        <x:v>4160400</x:v>
      </x:c>
      <x:c r="H83" s="58" t="n">
        <x:v>0</x:v>
      </x:c>
      <x:c r="I83" s="61" t="n">
        <x:f>G83-H83</x:f>
        <x:v>4160400</x:v>
      </x:c>
      <x:c r="J83" s="61" t="n">
        <x:f>J82+I83</x:f>
        <x:v>473804800</x:v>
      </x:c>
      <x:c r="K83" s="50" t="str">
        <x:v>BH-20260427</x:v>
      </x:c>
    </x:row>
    <x:row r="84">
      <x:c r="A84" s="55" t="n">
        <x:v>46140</x:v>
      </x:c>
      <x:c r="B84" s="49" t="str">
        <x:v>PT-0056</x:v>
      </x:c>
      <x:c r="C84" s="49" t="str">
        <x:v>Thu</x:v>
      </x:c>
      <x:c r="D84" s="49" t="str">
        <x:v>Bán hàng</x:v>
      </x:c>
      <x:c r="E84" s="49" t="str">
        <x:v>Doanh thu bán hàng trong ngày - tiền mặt</x:v>
      </x:c>
      <x:c r="F84" s="49" t="str">
        <x:v>Tiền mặt</x:v>
      </x:c>
      <x:c r="G84" s="58" t="n">
        <x:v>1970000</x:v>
      </x:c>
      <x:c r="H84" s="58" t="n">
        <x:v>0</x:v>
      </x:c>
      <x:c r="I84" s="61" t="n">
        <x:f>G84-H84</x:f>
        <x:v>1970000</x:v>
      </x:c>
      <x:c r="J84" s="61" t="n">
        <x:f>J83+I84</x:f>
        <x:v>475774800</x:v>
      </x:c>
      <x:c r="K84" s="50" t="str">
        <x:v>BH-20260428</x:v>
      </x:c>
    </x:row>
    <x:row r="85">
      <x:c r="A85" s="55" t="n">
        <x:v>46140</x:v>
      </x:c>
      <x:c r="B85" s="49" t="str">
        <x:v>PT-0057</x:v>
      </x:c>
      <x:c r="C85" s="49" t="str">
        <x:v>Thu</x:v>
      </x:c>
      <x:c r="D85" s="49" t="str">
        <x:v>Bán hàng</x:v>
      </x:c>
      <x:c r="E85" s="49" t="str">
        <x:v>Doanh thu bán hàng trong ngày - QR/chuyển khoản</x:v>
      </x:c>
      <x:c r="F85" s="49" t="str">
        <x:v>Ngân hàng</x:v>
      </x:c>
      <x:c r="G85" s="58" t="n">
        <x:v>4502000</x:v>
      </x:c>
      <x:c r="H85" s="58" t="n">
        <x:v>0</x:v>
      </x:c>
      <x:c r="I85" s="61" t="n">
        <x:f>G85-H85</x:f>
        <x:v>4502000</x:v>
      </x:c>
      <x:c r="J85" s="61" t="n">
        <x:f>J84+I85</x:f>
        <x:v>480276800</x:v>
      </x:c>
      <x:c r="K85" s="50" t="str">
        <x:v>BH-20260428</x:v>
      </x:c>
    </x:row>
    <x:row r="86">
      <x:c r="A86" s="55" t="n">
        <x:v>46141</x:v>
      </x:c>
      <x:c r="B86" s="49" t="str">
        <x:v>PC-0208</x:v>
      </x:c>
      <x:c r="C86" s="49" t="str">
        <x:v>Chi</x:v>
      </x:c>
      <x:c r="D86" s="49" t="str">
        <x:v>Cà phê hạt</x:v>
      </x:c>
      <x:c r="E86" s="49" t="str">
        <x:v>Cà phê hạt rang</x:v>
      </x:c>
      <x:c r="F86" s="49" t="str">
        <x:v>Ngân hàng</x:v>
      </x:c>
      <x:c r="G86" s="58" t="n">
        <x:v>0</x:v>
      </x:c>
      <x:c r="H86" s="58" t="n">
        <x:v>8281440</x:v>
      </x:c>
      <x:c r="I86" s="61" t="n">
        <x:f>G86-H86</x:f>
        <x:v>-8281440</x:v>
      </x:c>
      <x:c r="J86" s="61" t="n">
        <x:f>J85+I86</x:f>
        <x:v>471995360</x:v>
      </x:c>
      <x:c r="K86" s="50" t="str">
        <x:v>HDMH-MAU-021</x:v>
      </x:c>
    </x:row>
    <x:row r="87">
      <x:c r="A87" s="55" t="n">
        <x:v>46141</x:v>
      </x:c>
      <x:c r="B87" s="49" t="str">
        <x:v>PC-0209</x:v>
      </x:c>
      <x:c r="C87" s="49" t="str">
        <x:v>Chi</x:v>
      </x:c>
      <x:c r="D87" s="49" t="str">
        <x:v>Sữa và nguyên liệu</x:v>
      </x:c>
      <x:c r="E87" s="49" t="str">
        <x:v>Sữa tươi và sữa đặc</x:v>
      </x:c>
      <x:c r="F87" s="49" t="str">
        <x:v>Tiền mặt</x:v>
      </x:c>
      <x:c r="G87" s="58" t="n">
        <x:v>0</x:v>
      </x:c>
      <x:c r="H87" s="58" t="n">
        <x:v>5871960</x:v>
      </x:c>
      <x:c r="I87" s="61" t="n">
        <x:f>G87-H87</x:f>
        <x:v>-5871960</x:v>
      </x:c>
      <x:c r="J87" s="61" t="n">
        <x:f>J86+I87</x:f>
        <x:v>466123400</x:v>
      </x:c>
      <x:c r="K87" s="50" t="str">
        <x:v>HDMH-MAU-022</x:v>
      </x:c>
    </x:row>
    <x:row r="88">
      <x:c r="A88" s="55" t="n">
        <x:v>46141</x:v>
      </x:c>
      <x:c r="B88" s="49" t="str">
        <x:v>PC-0210</x:v>
      </x:c>
      <x:c r="C88" s="49" t="str">
        <x:v>Chi</x:v>
      </x:c>
      <x:c r="D88" s="49" t="str">
        <x:v>Bao bì</x:v>
      </x:c>
      <x:c r="E88" s="49" t="str">
        <x:v>Cốc, nắp và túi mang đi</x:v>
      </x:c>
      <x:c r="F88" s="49" t="str">
        <x:v>Ngân hàng</x:v>
      </x:c>
      <x:c r="G88" s="58" t="n">
        <x:v>0</x:v>
      </x:c>
      <x:c r="H88" s="58" t="n">
        <x:v>3176280</x:v>
      </x:c>
      <x:c r="I88" s="61" t="n">
        <x:f>G88-H88</x:f>
        <x:v>-3176280</x:v>
      </x:c>
      <x:c r="J88" s="61" t="n">
        <x:f>J87+I88</x:f>
        <x:v>462947120</x:v>
      </x:c>
      <x:c r="K88" s="50" t="str">
        <x:v>HDMH-MAU-023</x:v>
      </x:c>
    </x:row>
    <x:row r="89">
      <x:c r="A89" s="55" t="n">
        <x:v>46141</x:v>
      </x:c>
      <x:c r="B89" s="49" t="str">
        <x:v>PC-0211</x:v>
      </x:c>
      <x:c r="C89" s="49" t="str">
        <x:v>Chi</x:v>
      </x:c>
      <x:c r="D89" s="49" t="str">
        <x:v>Bánh</x:v>
      </x:c>
      <x:c r="E89" s="49" t="str">
        <x:v>Bánh ngọt giao tuần</x:v>
      </x:c>
      <x:c r="F89" s="49" t="str">
        <x:v>Tiền mặt</x:v>
      </x:c>
      <x:c r="G89" s="58" t="n">
        <x:v>0</x:v>
      </x:c>
      <x:c r="H89" s="58" t="n">
        <x:v>5272560</x:v>
      </x:c>
      <x:c r="I89" s="61" t="n">
        <x:f>G89-H89</x:f>
        <x:v>-5272560</x:v>
      </x:c>
      <x:c r="J89" s="61" t="n">
        <x:f>J88+I89</x:f>
        <x:v>457674560</x:v>
      </x:c>
      <x:c r="K89" s="50" t="str">
        <x:v>HDMH-MAU-024</x:v>
      </x:c>
    </x:row>
    <x:row r="90">
      <x:c r="A90" s="55" t="n">
        <x:v>46141</x:v>
      </x:c>
      <x:c r="B90" s="49" t="str">
        <x:v>PC-0212</x:v>
      </x:c>
      <x:c r="C90" s="49" t="str">
        <x:v>Chi</x:v>
      </x:c>
      <x:c r="D90" s="49" t="str">
        <x:v>Marketing</x:v>
      </x:c>
      <x:c r="E90" s="49" t="str">
        <x:v>Quảng cáo mạng xã hội</x:v>
      </x:c>
      <x:c r="F90" s="49" t="str">
        <x:v>Ngân hàng</x:v>
      </x:c>
      <x:c r="G90" s="58" t="n">
        <x:v>0</x:v>
      </x:c>
      <x:c r="H90" s="58" t="n">
        <x:v>2400200</x:v>
      </x:c>
      <x:c r="I90" s="61" t="n">
        <x:f>G90-H90</x:f>
        <x:v>-2400200</x:v>
      </x:c>
      <x:c r="J90" s="61" t="n">
        <x:f>J89+I90</x:f>
        <x:v>455274360</x:v>
      </x:c>
      <x:c r="K90" s="50" t="str">
        <x:v>HDMH-MAU-025</x:v>
      </x:c>
    </x:row>
    <x:row r="91">
      <x:c r="A91" s="55" t="n">
        <x:v>46141</x:v>
      </x:c>
      <x:c r="B91" s="49" t="str">
        <x:v>PT-0058</x:v>
      </x:c>
      <x:c r="C91" s="49" t="str">
        <x:v>Thu</x:v>
      </x:c>
      <x:c r="D91" s="49" t="str">
        <x:v>Bán hàng</x:v>
      </x:c>
      <x:c r="E91" s="49" t="str">
        <x:v>Doanh thu bán hàng trong ngày - tiền mặt</x:v>
      </x:c>
      <x:c r="F91" s="49" t="str">
        <x:v>Tiền mặt</x:v>
      </x:c>
      <x:c r="G91" s="58" t="n">
        <x:v>2458000</x:v>
      </x:c>
      <x:c r="H91" s="58" t="n">
        <x:v>0</x:v>
      </x:c>
      <x:c r="I91" s="61" t="n">
        <x:f>G91-H91</x:f>
        <x:v>2458000</x:v>
      </x:c>
      <x:c r="J91" s="61" t="n">
        <x:f>J90+I91</x:f>
        <x:v>457732360</x:v>
      </x:c>
      <x:c r="K91" s="50" t="str">
        <x:v>BH-20260429</x:v>
      </x:c>
    </x:row>
    <x:row r="92">
      <x:c r="A92" s="55" t="n">
        <x:v>46141</x:v>
      </x:c>
      <x:c r="B92" s="49" t="str">
        <x:v>PT-0059</x:v>
      </x:c>
      <x:c r="C92" s="49" t="str">
        <x:v>Thu</x:v>
      </x:c>
      <x:c r="D92" s="49" t="str">
        <x:v>Bán hàng</x:v>
      </x:c>
      <x:c r="E92" s="49" t="str">
        <x:v>Doanh thu bán hàng trong ngày - QR/chuyển khoản</x:v>
      </x:c>
      <x:c r="F92" s="49" t="str">
        <x:v>Ngân hàng</x:v>
      </x:c>
      <x:c r="G92" s="58" t="n">
        <x:v>4335800</x:v>
      </x:c>
      <x:c r="H92" s="58" t="n">
        <x:v>0</x:v>
      </x:c>
      <x:c r="I92" s="61" t="n">
        <x:f>G92-H92</x:f>
        <x:v>4335800</x:v>
      </x:c>
      <x:c r="J92" s="61" t="n">
        <x:f>J91+I92</x:f>
        <x:v>462068160</x:v>
      </x:c>
      <x:c r="K92" s="50" t="str">
        <x:v>BH-20260429</x:v>
      </x:c>
    </x:row>
    <x:row r="93">
      <x:c r="A93" s="55" t="n">
        <x:v>46142</x:v>
      </x:c>
      <x:c r="B93" s="49" t="str">
        <x:v>PT-0060</x:v>
      </x:c>
      <x:c r="C93" s="49" t="str">
        <x:v>Thu</x:v>
      </x:c>
      <x:c r="D93" s="49" t="str">
        <x:v>Bán hàng</x:v>
      </x:c>
      <x:c r="E93" s="49" t="str">
        <x:v>Doanh thu bán hàng trong ngày - tiền mặt</x:v>
      </x:c>
      <x:c r="F93" s="49" t="str">
        <x:v>Tiền mặt</x:v>
      </x:c>
      <x:c r="G93" s="58" t="n">
        <x:v>2300000</x:v>
      </x:c>
      <x:c r="H93" s="58" t="n">
        <x:v>0</x:v>
      </x:c>
      <x:c r="I93" s="61" t="n">
        <x:f>G93-H93</x:f>
        <x:v>2300000</x:v>
      </x:c>
      <x:c r="J93" s="61" t="n">
        <x:f>J92+I93</x:f>
        <x:v>464368160</x:v>
      </x:c>
      <x:c r="K93" s="50" t="str">
        <x:v>BH-20260430</x:v>
      </x:c>
    </x:row>
    <x:row r="94">
      <x:c r="A94" s="55" t="n">
        <x:v>46142</x:v>
      </x:c>
      <x:c r="B94" s="49" t="str">
        <x:v>PT-0061</x:v>
      </x:c>
      <x:c r="C94" s="49" t="str">
        <x:v>Thu</x:v>
      </x:c>
      <x:c r="D94" s="49" t="str">
        <x:v>Bán hàng</x:v>
      </x:c>
      <x:c r="E94" s="49" t="str">
        <x:v>Doanh thu bán hàng trong ngày - QR/chuyển khoản</x:v>
      </x:c>
      <x:c r="F94" s="49" t="str">
        <x:v>Ngân hàng</x:v>
      </x:c>
      <x:c r="G94" s="58" t="n">
        <x:v>4770500</x:v>
      </x:c>
      <x:c r="H94" s="58" t="n">
        <x:v>0</x:v>
      </x:c>
      <x:c r="I94" s="61" t="n">
        <x:f>G94-H94</x:f>
        <x:v>4770500</x:v>
      </x:c>
      <x:c r="J94" s="61" t="n">
        <x:f>J93+I94</x:f>
        <x:v>469138660</x:v>
      </x:c>
      <x:c r="K94" s="50" t="str">
        <x:v>BH-20260430</x:v>
      </x:c>
    </x:row>
    <x:row r="95">
      <x:c r="A95" s="55" t="n">
        <x:v>46143</x:v>
      </x:c>
      <x:c r="B95" s="49" t="str">
        <x:v>PT-0062</x:v>
      </x:c>
      <x:c r="C95" s="49" t="str">
        <x:v>Thu</x:v>
      </x:c>
      <x:c r="D95" s="49" t="str">
        <x:v>Bán hàng</x:v>
      </x:c>
      <x:c r="E95" s="49" t="str">
        <x:v>Doanh thu bán hàng trong ngày - tiền mặt</x:v>
      </x:c>
      <x:c r="F95" s="49" t="str">
        <x:v>Tiền mặt</x:v>
      </x:c>
      <x:c r="G95" s="58" t="n">
        <x:v>2317000</x:v>
      </x:c>
      <x:c r="H95" s="58" t="n">
        <x:v>0</x:v>
      </x:c>
      <x:c r="I95" s="61" t="n">
        <x:f>G95-H95</x:f>
        <x:v>2317000</x:v>
      </x:c>
      <x:c r="J95" s="61" t="n">
        <x:f>J94+I95</x:f>
        <x:v>471455660</x:v>
      </x:c>
      <x:c r="K95" s="50" t="str">
        <x:v>BH-20260501</x:v>
      </x:c>
    </x:row>
    <x:row r="96">
      <x:c r="A96" s="55" t="n">
        <x:v>46143</x:v>
      </x:c>
      <x:c r="B96" s="49" t="str">
        <x:v>PT-0063</x:v>
      </x:c>
      <x:c r="C96" s="49" t="str">
        <x:v>Thu</x:v>
      </x:c>
      <x:c r="D96" s="49" t="str">
        <x:v>Bán hàng</x:v>
      </x:c>
      <x:c r="E96" s="49" t="str">
        <x:v>Doanh thu bán hàng trong ngày - QR/chuyển khoản</x:v>
      </x:c>
      <x:c r="F96" s="49" t="str">
        <x:v>Ngân hàng</x:v>
      </x:c>
      <x:c r="G96" s="58" t="n">
        <x:v>4639600</x:v>
      </x:c>
      <x:c r="H96" s="58" t="n">
        <x:v>0</x:v>
      </x:c>
      <x:c r="I96" s="61" t="n">
        <x:f>G96-H96</x:f>
        <x:v>4639600</x:v>
      </x:c>
      <x:c r="J96" s="61" t="n">
        <x:f>J95+I96</x:f>
        <x:v>476095260</x:v>
      </x:c>
      <x:c r="K96" s="50" t="str">
        <x:v>BH-20260501</x:v>
      </x:c>
    </x:row>
    <x:row r="97">
      <x:c r="A97" s="55" t="n">
        <x:v>46144</x:v>
      </x:c>
      <x:c r="B97" s="49" t="str">
        <x:v>PC-0213</x:v>
      </x:c>
      <x:c r="C97" s="49" t="str">
        <x:v>Chi</x:v>
      </x:c>
      <x:c r="D97" s="49" t="str">
        <x:v>Tiền thuê</x:v>
      </x:c>
      <x:c r="E97" s="49" t="str">
        <x:v>Tiền thuê mặt bằng tháng 05/2026</x:v>
      </x:c>
      <x:c r="F97" s="49" t="str">
        <x:v>Ngân hàng</x:v>
      </x:c>
      <x:c r="G97" s="58" t="n">
        <x:v>0</x:v>
      </x:c>
      <x:c r="H97" s="58" t="n">
        <x:v>70000000</x:v>
      </x:c>
      <x:c r="I97" s="61" t="n">
        <x:f>G97-H97</x:f>
        <x:v>-70000000</x:v>
      </x:c>
      <x:c r="J97" s="61" t="n">
        <x:f>J96+I97</x:f>
        <x:v>406095260</x:v>
      </x:c>
      <x:c r="K97" s="50" t="str">
        <x:v>CP-THUE-202605</x:v>
      </x:c>
    </x:row>
    <x:row r="98">
      <x:c r="A98" s="55" t="n">
        <x:v>46144</x:v>
      </x:c>
      <x:c r="B98" s="49" t="str">
        <x:v>PT-0064</x:v>
      </x:c>
      <x:c r="C98" s="49" t="str">
        <x:v>Thu</x:v>
      </x:c>
      <x:c r="D98" s="49" t="str">
        <x:v>Bán hàng</x:v>
      </x:c>
      <x:c r="E98" s="49" t="str">
        <x:v>Doanh thu bán hàng trong ngày - tiền mặt</x:v>
      </x:c>
      <x:c r="F98" s="49" t="str">
        <x:v>Tiền mặt</x:v>
      </x:c>
      <x:c r="G98" s="58" t="n">
        <x:v>2670000</x:v>
      </x:c>
      <x:c r="H98" s="58" t="n">
        <x:v>0</x:v>
      </x:c>
      <x:c r="I98" s="61" t="n">
        <x:f>G98-H98</x:f>
        <x:v>2670000</x:v>
      </x:c>
      <x:c r="J98" s="61" t="n">
        <x:f>J97+I98</x:f>
        <x:v>408765260</x:v>
      </x:c>
      <x:c r="K98" s="50" t="str">
        <x:v>BH-20260502</x:v>
      </x:c>
    </x:row>
    <x:row r="99">
      <x:c r="A99" s="55" t="n">
        <x:v>46144</x:v>
      </x:c>
      <x:c r="B99" s="49" t="str">
        <x:v>PT-0065</x:v>
      </x:c>
      <x:c r="C99" s="49" t="str">
        <x:v>Thu</x:v>
      </x:c>
      <x:c r="D99" s="49" t="str">
        <x:v>Bán hàng</x:v>
      </x:c>
      <x:c r="E99" s="49" t="str">
        <x:v>Doanh thu bán hàng trong ngày - QR/chuyển khoản</x:v>
      </x:c>
      <x:c r="F99" s="49" t="str">
        <x:v>Ngân hàng</x:v>
      </x:c>
      <x:c r="G99" s="58" t="n">
        <x:v>5638350</x:v>
      </x:c>
      <x:c r="H99" s="58" t="n">
        <x:v>0</x:v>
      </x:c>
      <x:c r="I99" s="61" t="n">
        <x:f>G99-H99</x:f>
        <x:v>5638350</x:v>
      </x:c>
      <x:c r="J99" s="61" t="n">
        <x:f>J98+I99</x:f>
        <x:v>414403610</x:v>
      </x:c>
      <x:c r="K99" s="50" t="str">
        <x:v>BH-20260502</x:v>
      </x:c>
    </x:row>
    <x:row r="100">
      <x:c r="A100" s="55" t="n">
        <x:v>46145</x:v>
      </x:c>
      <x:c r="B100" s="49" t="str">
        <x:v>PT-0066</x:v>
      </x:c>
      <x:c r="C100" s="49" t="str">
        <x:v>Thu</x:v>
      </x:c>
      <x:c r="D100" s="49" t="str">
        <x:v>Bán hàng</x:v>
      </x:c>
      <x:c r="E100" s="49" t="str">
        <x:v>Doanh thu bán hàng trong ngày - tiền mặt</x:v>
      </x:c>
      <x:c r="F100" s="49" t="str">
        <x:v>Tiền mặt</x:v>
      </x:c>
      <x:c r="G100" s="58" t="n">
        <x:v>2902000</x:v>
      </x:c>
      <x:c r="H100" s="58" t="n">
        <x:v>0</x:v>
      </x:c>
      <x:c r="I100" s="61" t="n">
        <x:f>G100-H100</x:f>
        <x:v>2902000</x:v>
      </x:c>
      <x:c r="J100" s="61" t="n">
        <x:f>J99+I100</x:f>
        <x:v>417305610</x:v>
      </x:c>
      <x:c r="K100" s="50" t="str">
        <x:v>BH-20260503</x:v>
      </x:c>
    </x:row>
    <x:row r="101">
      <x:c r="A101" s="55" t="n">
        <x:v>46145</x:v>
      </x:c>
      <x:c r="B101" s="49" t="str">
        <x:v>PT-0067</x:v>
      </x:c>
      <x:c r="C101" s="49" t="str">
        <x:v>Thu</x:v>
      </x:c>
      <x:c r="D101" s="49" t="str">
        <x:v>Bán hàng</x:v>
      </x:c>
      <x:c r="E101" s="49" t="str">
        <x:v>Doanh thu bán hàng trong ngày - QR/chuyển khoản</x:v>
      </x:c>
      <x:c r="F101" s="49" t="str">
        <x:v>Ngân hàng</x:v>
      </x:c>
      <x:c r="G101" s="58" t="n">
        <x:v>5402550</x:v>
      </x:c>
      <x:c r="H101" s="58" t="n">
        <x:v>0</x:v>
      </x:c>
      <x:c r="I101" s="61" t="n">
        <x:f>G101-H101</x:f>
        <x:v>5402550</x:v>
      </x:c>
      <x:c r="J101" s="61" t="n">
        <x:f>J100+I101</x:f>
        <x:v>422708160</x:v>
      </x:c>
      <x:c r="K101" s="50" t="str">
        <x:v>BH-20260503</x:v>
      </x:c>
    </x:row>
    <x:row r="102">
      <x:c r="A102" s="55" t="n">
        <x:v>46146</x:v>
      </x:c>
      <x:c r="B102" s="49" t="str">
        <x:v>PT-0068</x:v>
      </x:c>
      <x:c r="C102" s="49" t="str">
        <x:v>Thu</x:v>
      </x:c>
      <x:c r="D102" s="49" t="str">
        <x:v>Bán hàng</x:v>
      </x:c>
      <x:c r="E102" s="49" t="str">
        <x:v>Doanh thu bán hàng trong ngày - tiền mặt</x:v>
      </x:c>
      <x:c r="F102" s="49" t="str">
        <x:v>Tiền mặt</x:v>
      </x:c>
      <x:c r="G102" s="58" t="n">
        <x:v>2647000</x:v>
      </x:c>
      <x:c r="H102" s="58" t="n">
        <x:v>0</x:v>
      </x:c>
      <x:c r="I102" s="61" t="n">
        <x:f>G102-H102</x:f>
        <x:v>2647000</x:v>
      </x:c>
      <x:c r="J102" s="61" t="n">
        <x:f>J101+I102</x:f>
        <x:v>425355160</x:v>
      </x:c>
      <x:c r="K102" s="50" t="str">
        <x:v>BH-20260504</x:v>
      </x:c>
    </x:row>
    <x:row r="103">
      <x:c r="A103" s="55" t="n">
        <x:v>46146</x:v>
      </x:c>
      <x:c r="B103" s="49" t="str">
        <x:v>PT-0069</x:v>
      </x:c>
      <x:c r="C103" s="49" t="str">
        <x:v>Thu</x:v>
      </x:c>
      <x:c r="D103" s="49" t="str">
        <x:v>Bán hàng</x:v>
      </x:c>
      <x:c r="E103" s="49" t="str">
        <x:v>Doanh thu bán hàng trong ngày - QR/chuyển khoản</x:v>
      </x:c>
      <x:c r="F103" s="49" t="str">
        <x:v>Ngân hàng</x:v>
      </x:c>
      <x:c r="G103" s="58" t="n">
        <x:v>4557500</x:v>
      </x:c>
      <x:c r="H103" s="58" t="n">
        <x:v>0</x:v>
      </x:c>
      <x:c r="I103" s="61" t="n">
        <x:f>G103-H103</x:f>
        <x:v>4557500</x:v>
      </x:c>
      <x:c r="J103" s="61" t="n">
        <x:f>J102+I103</x:f>
        <x:v>429912660</x:v>
      </x:c>
      <x:c r="K103" s="50" t="str">
        <x:v>BH-20260504</x:v>
      </x:c>
    </x:row>
    <x:row r="104">
      <x:c r="A104" s="55" t="n">
        <x:v>46147</x:v>
      </x:c>
      <x:c r="B104" s="49" t="str">
        <x:v>PT-0070</x:v>
      </x:c>
      <x:c r="C104" s="49" t="str">
        <x:v>Thu</x:v>
      </x:c>
      <x:c r="D104" s="49" t="str">
        <x:v>Bán hàng</x:v>
      </x:c>
      <x:c r="E104" s="49" t="str">
        <x:v>Doanh thu bán hàng trong ngày - tiền mặt</x:v>
      </x:c>
      <x:c r="F104" s="49" t="str">
        <x:v>Tiền mặt</x:v>
      </x:c>
      <x:c r="G104" s="58" t="n">
        <x:v>2202000</x:v>
      </x:c>
      <x:c r="H104" s="58" t="n">
        <x:v>0</x:v>
      </x:c>
      <x:c r="I104" s="61" t="n">
        <x:f>G104-H104</x:f>
        <x:v>2202000</x:v>
      </x:c>
      <x:c r="J104" s="61" t="n">
        <x:f>J103+I104</x:f>
        <x:v>432114660</x:v>
      </x:c>
      <x:c r="K104" s="50" t="str">
        <x:v>BH-20260505</x:v>
      </x:c>
    </x:row>
    <x:row r="105">
      <x:c r="A105" s="55" t="n">
        <x:v>46147</x:v>
      </x:c>
      <x:c r="B105" s="49" t="str">
        <x:v>PT-0071</x:v>
      </x:c>
      <x:c r="C105" s="49" t="str">
        <x:v>Thu</x:v>
      </x:c>
      <x:c r="D105" s="49" t="str">
        <x:v>Bán hàng</x:v>
      </x:c>
      <x:c r="E105" s="49" t="str">
        <x:v>Doanh thu bán hàng trong ngày - QR/chuyển khoản</x:v>
      </x:c>
      <x:c r="F105" s="49" t="str">
        <x:v>Ngân hàng</x:v>
      </x:c>
      <x:c r="G105" s="58" t="n">
        <x:v>4622250</x:v>
      </x:c>
      <x:c r="H105" s="58" t="n">
        <x:v>0</x:v>
      </x:c>
      <x:c r="I105" s="61" t="n">
        <x:f>G105-H105</x:f>
        <x:v>4622250</x:v>
      </x:c>
      <x:c r="J105" s="61" t="n">
        <x:f>J104+I105</x:f>
        <x:v>436736910</x:v>
      </x:c>
      <x:c r="K105" s="50" t="str">
        <x:v>BH-20260505</x:v>
      </x:c>
    </x:row>
    <x:row r="106">
      <x:c r="A106" s="55" t="n">
        <x:v>46148</x:v>
      </x:c>
      <x:c r="B106" s="49" t="str">
        <x:v>PC-0214</x:v>
      </x:c>
      <x:c r="C106" s="49" t="str">
        <x:v>Chi</x:v>
      </x:c>
      <x:c r="D106" s="49" t="str">
        <x:v>Cà phê hạt</x:v>
      </x:c>
      <x:c r="E106" s="49" t="str">
        <x:v>Cà phê hạt rang</x:v>
      </x:c>
      <x:c r="F106" s="49" t="str">
        <x:v>Ngân hàng</x:v>
      </x:c>
      <x:c r="G106" s="58" t="n">
        <x:v>0</x:v>
      </x:c>
      <x:c r="H106" s="58" t="n">
        <x:v>7668000</x:v>
      </x:c>
      <x:c r="I106" s="61" t="n">
        <x:f>G106-H106</x:f>
        <x:v>-7668000</x:v>
      </x:c>
      <x:c r="J106" s="61" t="n">
        <x:f>J105+I106</x:f>
        <x:v>429068910</x:v>
      </x:c>
      <x:c r="K106" s="50" t="str">
        <x:v>HDMH-MAU-026</x:v>
      </x:c>
    </x:row>
    <x:row r="107">
      <x:c r="A107" s="55" t="n">
        <x:v>46148</x:v>
      </x:c>
      <x:c r="B107" s="49" t="str">
        <x:v>PC-0215</x:v>
      </x:c>
      <x:c r="C107" s="49" t="str">
        <x:v>Chi</x:v>
      </x:c>
      <x:c r="D107" s="49" t="str">
        <x:v>Sữa và nguyên liệu</x:v>
      </x:c>
      <x:c r="E107" s="49" t="str">
        <x:v>Sữa tươi và sữa đặc</x:v>
      </x:c>
      <x:c r="F107" s="49" t="str">
        <x:v>Tiền mặt</x:v>
      </x:c>
      <x:c r="G107" s="58" t="n">
        <x:v>0</x:v>
      </x:c>
      <x:c r="H107" s="58" t="n">
        <x:v>6012360</x:v>
      </x:c>
      <x:c r="I107" s="61" t="n">
        <x:f>G107-H107</x:f>
        <x:v>-6012360</x:v>
      </x:c>
      <x:c r="J107" s="61" t="n">
        <x:f>J106+I107</x:f>
        <x:v>423056550</x:v>
      </x:c>
      <x:c r="K107" s="50" t="str">
        <x:v>HDMH-MAU-027</x:v>
      </x:c>
    </x:row>
    <x:row r="108">
      <x:c r="A108" s="55" t="n">
        <x:v>46148</x:v>
      </x:c>
      <x:c r="B108" s="49" t="str">
        <x:v>PC-0216</x:v>
      </x:c>
      <x:c r="C108" s="49" t="str">
        <x:v>Chi</x:v>
      </x:c>
      <x:c r="D108" s="49" t="str">
        <x:v>Bao bì</x:v>
      </x:c>
      <x:c r="E108" s="49" t="str">
        <x:v>Cốc, nắp và túi mang đi</x:v>
      </x:c>
      <x:c r="F108" s="49" t="str">
        <x:v>Ngân hàng</x:v>
      </x:c>
      <x:c r="G108" s="58" t="n">
        <x:v>0</x:v>
      </x:c>
      <x:c r="H108" s="58" t="n">
        <x:v>3073680</x:v>
      </x:c>
      <x:c r="I108" s="61" t="n">
        <x:f>G108-H108</x:f>
        <x:v>-3073680</x:v>
      </x:c>
      <x:c r="J108" s="61" t="n">
        <x:f>J107+I108</x:f>
        <x:v>419982870</x:v>
      </x:c>
      <x:c r="K108" s="50" t="str">
        <x:v>HDMH-MAU-028</x:v>
      </x:c>
    </x:row>
    <x:row r="109">
      <x:c r="A109" s="55" t="n">
        <x:v>46148</x:v>
      </x:c>
      <x:c r="B109" s="49" t="str">
        <x:v>PC-0217</x:v>
      </x:c>
      <x:c r="C109" s="49" t="str">
        <x:v>Chi</x:v>
      </x:c>
      <x:c r="D109" s="49" t="str">
        <x:v>Bánh</x:v>
      </x:c>
      <x:c r="E109" s="49" t="str">
        <x:v>Bánh ngọt giao tuần</x:v>
      </x:c>
      <x:c r="F109" s="49" t="str">
        <x:v>Tiền mặt</x:v>
      </x:c>
      <x:c r="G109" s="58" t="n">
        <x:v>0</x:v>
      </x:c>
      <x:c r="H109" s="58" t="n">
        <x:v>5211000</x:v>
      </x:c>
      <x:c r="I109" s="61" t="n">
        <x:f>G109-H109</x:f>
        <x:v>-5211000</x:v>
      </x:c>
      <x:c r="J109" s="61" t="n">
        <x:f>J108+I109</x:f>
        <x:v>414771870</x:v>
      </x:c>
      <x:c r="K109" s="50" t="str">
        <x:v>HDMH-MAU-029</x:v>
      </x:c>
    </x:row>
    <x:row r="110">
      <x:c r="A110" s="55" t="n">
        <x:v>46148</x:v>
      </x:c>
      <x:c r="B110" s="49" t="str">
        <x:v>PC-0218</x:v>
      </x:c>
      <x:c r="C110" s="49" t="str">
        <x:v>Chi</x:v>
      </x:c>
      <x:c r="D110" s="49" t="str">
        <x:v>Marketing</x:v>
      </x:c>
      <x:c r="E110" s="49" t="str">
        <x:v>Quảng cáo mạng xã hội</x:v>
      </x:c>
      <x:c r="F110" s="49" t="str">
        <x:v>Ngân hàng</x:v>
      </x:c>
      <x:c r="G110" s="58" t="n">
        <x:v>0</x:v>
      </x:c>
      <x:c r="H110" s="58" t="n">
        <x:v>2486000</x:v>
      </x:c>
      <x:c r="I110" s="61" t="n">
        <x:f>G110-H110</x:f>
        <x:v>-2486000</x:v>
      </x:c>
      <x:c r="J110" s="61" t="n">
        <x:f>J109+I110</x:f>
        <x:v>412285870</x:v>
      </x:c>
      <x:c r="K110" s="50" t="str">
        <x:v>HDMH-MAU-030</x:v>
      </x:c>
    </x:row>
    <x:row r="111">
      <x:c r="A111" s="55" t="n">
        <x:v>46148</x:v>
      </x:c>
      <x:c r="B111" s="49" t="str">
        <x:v>PT-0072</x:v>
      </x:c>
      <x:c r="C111" s="49" t="str">
        <x:v>Thu</x:v>
      </x:c>
      <x:c r="D111" s="49" t="str">
        <x:v>Bán hàng</x:v>
      </x:c>
      <x:c r="E111" s="49" t="str">
        <x:v>Doanh thu bán hàng trong ngày - tiền mặt</x:v>
      </x:c>
      <x:c r="F111" s="49" t="str">
        <x:v>Tiền mặt</x:v>
      </x:c>
      <x:c r="G111" s="58" t="n">
        <x:v>2530000</x:v>
      </x:c>
      <x:c r="H111" s="58" t="n">
        <x:v>0</x:v>
      </x:c>
      <x:c r="I111" s="61" t="n">
        <x:f>G111-H111</x:f>
        <x:v>2530000</x:v>
      </x:c>
      <x:c r="J111" s="61" t="n">
        <x:f>J110+I111</x:f>
        <x:v>414815870</x:v>
      </x:c>
      <x:c r="K111" s="50" t="str">
        <x:v>BH-20260506</x:v>
      </x:c>
    </x:row>
    <x:row r="112">
      <x:c r="A112" s="55" t="n">
        <x:v>46148</x:v>
      </x:c>
      <x:c r="B112" s="49" t="str">
        <x:v>PT-0073</x:v>
      </x:c>
      <x:c r="C112" s="49" t="str">
        <x:v>Thu</x:v>
      </x:c>
      <x:c r="D112" s="49" t="str">
        <x:v>Bán hàng</x:v>
      </x:c>
      <x:c r="E112" s="49" t="str">
        <x:v>Doanh thu bán hàng trong ngày - QR/chuyển khoản</x:v>
      </x:c>
      <x:c r="F112" s="49" t="str">
        <x:v>Ngân hàng</x:v>
      </x:c>
      <x:c r="G112" s="58" t="n">
        <x:v>4428000</x:v>
      </x:c>
      <x:c r="H112" s="58" t="n">
        <x:v>0</x:v>
      </x:c>
      <x:c r="I112" s="61" t="n">
        <x:f>G112-H112</x:f>
        <x:v>4428000</x:v>
      </x:c>
      <x:c r="J112" s="61" t="n">
        <x:f>J111+I112</x:f>
        <x:v>419243870</x:v>
      </x:c>
      <x:c r="K112" s="50" t="str">
        <x:v>BH-20260506</x:v>
      </x:c>
    </x:row>
    <x:row r="113">
      <x:c r="A113" s="55" t="n">
        <x:v>46149</x:v>
      </x:c>
      <x:c r="B113" s="49" t="str">
        <x:v>PT-0074</x:v>
      </x:c>
      <x:c r="C113" s="49" t="str">
        <x:v>Thu</x:v>
      </x:c>
      <x:c r="D113" s="49" t="str">
        <x:v>Bán hàng</x:v>
      </x:c>
      <x:c r="E113" s="49" t="str">
        <x:v>Doanh thu bán hàng trong ngày - tiền mặt</x:v>
      </x:c>
      <x:c r="F113" s="49" t="str">
        <x:v>Tiền mặt</x:v>
      </x:c>
      <x:c r="G113" s="58" t="n">
        <x:v>2123000</x:v>
      </x:c>
      <x:c r="H113" s="58" t="n">
        <x:v>0</x:v>
      </x:c>
      <x:c r="I113" s="61" t="n">
        <x:f>G113-H113</x:f>
        <x:v>2123000</x:v>
      </x:c>
      <x:c r="J113" s="61" t="n">
        <x:f>J112+I113</x:f>
        <x:v>421366870</x:v>
      </x:c>
      <x:c r="K113" s="50" t="str">
        <x:v>BH-20260507</x:v>
      </x:c>
    </x:row>
    <x:row r="114">
      <x:c r="A114" s="55" t="n">
        <x:v>46149</x:v>
      </x:c>
      <x:c r="B114" s="49" t="str">
        <x:v>PT-0075</x:v>
      </x:c>
      <x:c r="C114" s="49" t="str">
        <x:v>Thu</x:v>
      </x:c>
      <x:c r="D114" s="49" t="str">
        <x:v>Bán hàng</x:v>
      </x:c>
      <x:c r="E114" s="49" t="str">
        <x:v>Doanh thu bán hàng trong ngày - QR/chuyển khoản</x:v>
      </x:c>
      <x:c r="F114" s="49" t="str">
        <x:v>Ngân hàng</x:v>
      </x:c>
      <x:c r="G114" s="58" t="n">
        <x:v>4533600</x:v>
      </x:c>
      <x:c r="H114" s="58" t="n">
        <x:v>0</x:v>
      </x:c>
      <x:c r="I114" s="61" t="n">
        <x:f>G114-H114</x:f>
        <x:v>4533600</x:v>
      </x:c>
      <x:c r="J114" s="61" t="n">
        <x:f>J113+I114</x:f>
        <x:v>425900470</x:v>
      </x:c>
      <x:c r="K114" s="50" t="str">
        <x:v>BH-20260507</x:v>
      </x:c>
    </x:row>
    <x:row r="115">
      <x:c r="A115" s="55" t="n">
        <x:v>46150</x:v>
      </x:c>
      <x:c r="B115" s="49" t="str">
        <x:v>PT-0076</x:v>
      </x:c>
      <x:c r="C115" s="49" t="str">
        <x:v>Thu</x:v>
      </x:c>
      <x:c r="D115" s="49" t="str">
        <x:v>Bán hàng</x:v>
      </x:c>
      <x:c r="E115" s="49" t="str">
        <x:v>Doanh thu bán hàng trong ngày - tiền mặt</x:v>
      </x:c>
      <x:c r="F115" s="49" t="str">
        <x:v>Tiền mặt</x:v>
      </x:c>
      <x:c r="G115" s="58" t="n">
        <x:v>2515000</x:v>
      </x:c>
      <x:c r="H115" s="58" t="n">
        <x:v>0</x:v>
      </x:c>
      <x:c r="I115" s="61" t="n">
        <x:f>G115-H115</x:f>
        <x:v>2515000</x:v>
      </x:c>
      <x:c r="J115" s="61" t="n">
        <x:f>J114+I115</x:f>
        <x:v>428415470</x:v>
      </x:c>
      <x:c r="K115" s="50" t="str">
        <x:v>BH-20260508</x:v>
      </x:c>
    </x:row>
    <x:row r="116">
      <x:c r="A116" s="55" t="n">
        <x:v>46150</x:v>
      </x:c>
      <x:c r="B116" s="49" t="str">
        <x:v>PT-0077</x:v>
      </x:c>
      <x:c r="C116" s="49" t="str">
        <x:v>Thu</x:v>
      </x:c>
      <x:c r="D116" s="49" t="str">
        <x:v>Bán hàng</x:v>
      </x:c>
      <x:c r="E116" s="49" t="str">
        <x:v>Doanh thu bán hàng trong ngày - QR/chuyển khoản</x:v>
      </x:c>
      <x:c r="F116" s="49" t="str">
        <x:v>Ngân hàng</x:v>
      </x:c>
      <x:c r="G116" s="58" t="n">
        <x:v>4360600</x:v>
      </x:c>
      <x:c r="H116" s="58" t="n">
        <x:v>0</x:v>
      </x:c>
      <x:c r="I116" s="61" t="n">
        <x:f>G116-H116</x:f>
        <x:v>4360600</x:v>
      </x:c>
      <x:c r="J116" s="61" t="n">
        <x:f>J115+I116</x:f>
        <x:v>432776070</x:v>
      </x:c>
      <x:c r="K116" s="50" t="str">
        <x:v>BH-20260508</x:v>
      </x:c>
    </x:row>
    <x:row r="117">
      <x:c r="A117" s="55" t="n">
        <x:v>46151</x:v>
      </x:c>
      <x:c r="B117" s="49" t="str">
        <x:v>PT-0078</x:v>
      </x:c>
      <x:c r="C117" s="49" t="str">
        <x:v>Thu</x:v>
      </x:c>
      <x:c r="D117" s="49" t="str">
        <x:v>Bán hàng</x:v>
      </x:c>
      <x:c r="E117" s="49" t="str">
        <x:v>Doanh thu bán hàng trong ngày - tiền mặt</x:v>
      </x:c>
      <x:c r="F117" s="49" t="str">
        <x:v>Tiền mặt</x:v>
      </x:c>
      <x:c r="G117" s="58" t="n">
        <x:v>3001000</x:v>
      </x:c>
      <x:c r="H117" s="58" t="n">
        <x:v>0</x:v>
      </x:c>
      <x:c r="I117" s="61" t="n">
        <x:f>G117-H117</x:f>
        <x:v>3001000</x:v>
      </x:c>
      <x:c r="J117" s="61" t="n">
        <x:f>J116+I117</x:f>
        <x:v>435777070</x:v>
      </x:c>
      <x:c r="K117" s="50" t="str">
        <x:v>BH-20260509</x:v>
      </x:c>
    </x:row>
    <x:row r="118">
      <x:c r="A118" s="55" t="n">
        <x:v>46151</x:v>
      </x:c>
      <x:c r="B118" s="49" t="str">
        <x:v>PT-0079</x:v>
      </x:c>
      <x:c r="C118" s="49" t="str">
        <x:v>Thu</x:v>
      </x:c>
      <x:c r="D118" s="49" t="str">
        <x:v>Bán hàng</x:v>
      </x:c>
      <x:c r="E118" s="49" t="str">
        <x:v>Doanh thu bán hàng trong ngày - QR/chuyển khoản</x:v>
      </x:c>
      <x:c r="F118" s="49" t="str">
        <x:v>Ngân hàng</x:v>
      </x:c>
      <x:c r="G118" s="58" t="n">
        <x:v>5513300</x:v>
      </x:c>
      <x:c r="H118" s="58" t="n">
        <x:v>0</x:v>
      </x:c>
      <x:c r="I118" s="61" t="n">
        <x:f>G118-H118</x:f>
        <x:v>5513300</x:v>
      </x:c>
      <x:c r="J118" s="61" t="n">
        <x:f>J117+I118</x:f>
        <x:v>441290370</x:v>
      </x:c>
      <x:c r="K118" s="50" t="str">
        <x:v>BH-20260509</x:v>
      </x:c>
    </x:row>
    <x:row r="119">
      <x:c r="A119" s="55" t="n">
        <x:v>46152</x:v>
      </x:c>
      <x:c r="B119" s="49" t="str">
        <x:v>PC-0219</x:v>
      </x:c>
      <x:c r="C119" s="49" t="str">
        <x:v>Chi</x:v>
      </x:c>
      <x:c r="D119" s="49" t="str">
        <x:v>Tiền lương</x:v>
      </x:c>
      <x:c r="E119" s="49" t="str">
        <x:v>Lương và phụ cấp tháng 05/2026</x:v>
      </x:c>
      <x:c r="F119" s="49" t="str">
        <x:v>Ngân hàng</x:v>
      </x:c>
      <x:c r="G119" s="58" t="n">
        <x:v>0</x:v>
      </x:c>
      <x:c r="H119" s="58" t="n">
        <x:v>62000000</x:v>
      </x:c>
      <x:c r="I119" s="61" t="n">
        <x:f>G119-H119</x:f>
        <x:v>-62000000</x:v>
      </x:c>
      <x:c r="J119" s="61" t="n">
        <x:f>J118+I119</x:f>
        <x:v>379290370</x:v>
      </x:c>
      <x:c r="K119" s="50" t="str">
        <x:v>CP-LUONG-202605</x:v>
      </x:c>
    </x:row>
    <x:row r="120">
      <x:c r="A120" s="55" t="n">
        <x:v>46152</x:v>
      </x:c>
      <x:c r="B120" s="49" t="str">
        <x:v>PT-0080</x:v>
      </x:c>
      <x:c r="C120" s="49" t="str">
        <x:v>Thu</x:v>
      </x:c>
      <x:c r="D120" s="49" t="str">
        <x:v>Bán hàng</x:v>
      </x:c>
      <x:c r="E120" s="49" t="str">
        <x:v>Doanh thu bán hàng trong ngày - tiền mặt</x:v>
      </x:c>
      <x:c r="F120" s="49" t="str">
        <x:v>Tiền mặt</x:v>
      </x:c>
      <x:c r="G120" s="58" t="n">
        <x:v>2707000</x:v>
      </x:c>
      <x:c r="H120" s="58" t="n">
        <x:v>0</x:v>
      </x:c>
      <x:c r="I120" s="61" t="n">
        <x:f>G120-H120</x:f>
        <x:v>2707000</x:v>
      </x:c>
      <x:c r="J120" s="61" t="n">
        <x:f>J119+I120</x:f>
        <x:v>381997370</x:v>
      </x:c>
      <x:c r="K120" s="50" t="str">
        <x:v>BH-20260510</x:v>
      </x:c>
    </x:row>
    <x:row r="121">
      <x:c r="A121" s="55" t="n">
        <x:v>46152</x:v>
      </x:c>
      <x:c r="B121" s="49" t="str">
        <x:v>PT-0081</x:v>
      </x:c>
      <x:c r="C121" s="49" t="str">
        <x:v>Thu</x:v>
      </x:c>
      <x:c r="D121" s="49" t="str">
        <x:v>Bán hàng</x:v>
      </x:c>
      <x:c r="E121" s="49" t="str">
        <x:v>Doanh thu bán hàng trong ngày - QR/chuyển khoản</x:v>
      </x:c>
      <x:c r="F121" s="49" t="str">
        <x:v>Ngân hàng</x:v>
      </x:c>
      <x:c r="G121" s="58" t="n">
        <x:v>5882300</x:v>
      </x:c>
      <x:c r="H121" s="58" t="n">
        <x:v>0</x:v>
      </x:c>
      <x:c r="I121" s="61" t="n">
        <x:f>G121-H121</x:f>
        <x:v>5882300</x:v>
      </x:c>
      <x:c r="J121" s="61" t="n">
        <x:f>J120+I121</x:f>
        <x:v>387879670</x:v>
      </x:c>
      <x:c r="K121" s="50" t="str">
        <x:v>BH-20260510</x:v>
      </x:c>
    </x:row>
    <x:row r="122">
      <x:c r="A122" s="55" t="n">
        <x:v>46153</x:v>
      </x:c>
      <x:c r="B122" s="49" t="str">
        <x:v>PT-0082</x:v>
      </x:c>
      <x:c r="C122" s="49" t="str">
        <x:v>Thu</x:v>
      </x:c>
      <x:c r="D122" s="49" t="str">
        <x:v>Bán hàng</x:v>
      </x:c>
      <x:c r="E122" s="49" t="str">
        <x:v>Doanh thu bán hàng trong ngày - tiền mặt</x:v>
      </x:c>
      <x:c r="F122" s="49" t="str">
        <x:v>Tiền mặt</x:v>
      </x:c>
      <x:c r="G122" s="58" t="n">
        <x:v>2192000</x:v>
      </x:c>
      <x:c r="H122" s="58" t="n">
        <x:v>0</x:v>
      </x:c>
      <x:c r="I122" s="61" t="n">
        <x:f>G122-H122</x:f>
        <x:v>2192000</x:v>
      </x:c>
      <x:c r="J122" s="61" t="n">
        <x:f>J121+I122</x:f>
        <x:v>390071670</x:v>
      </x:c>
      <x:c r="K122" s="50" t="str">
        <x:v>BH-20260511</x:v>
      </x:c>
    </x:row>
    <x:row r="123">
      <x:c r="A123" s="55" t="n">
        <x:v>46153</x:v>
      </x:c>
      <x:c r="B123" s="49" t="str">
        <x:v>PT-0083</x:v>
      </x:c>
      <x:c r="C123" s="49" t="str">
        <x:v>Thu</x:v>
      </x:c>
      <x:c r="D123" s="49" t="str">
        <x:v>Bán hàng</x:v>
      </x:c>
      <x:c r="E123" s="49" t="str">
        <x:v>Doanh thu bán hàng trong ngày - QR/chuyển khoản</x:v>
      </x:c>
      <x:c r="F123" s="49" t="str">
        <x:v>Ngân hàng</x:v>
      </x:c>
      <x:c r="G123" s="58" t="n">
        <x:v>4841800</x:v>
      </x:c>
      <x:c r="H123" s="58" t="n">
        <x:v>0</x:v>
      </x:c>
      <x:c r="I123" s="61" t="n">
        <x:f>G123-H123</x:f>
        <x:v>4841800</x:v>
      </x:c>
      <x:c r="J123" s="61" t="n">
        <x:f>J122+I123</x:f>
        <x:v>394913470</x:v>
      </x:c>
      <x:c r="K123" s="50" t="str">
        <x:v>BH-20260511</x:v>
      </x:c>
    </x:row>
    <x:row r="124">
      <x:c r="A124" s="55" t="n">
        <x:v>46154</x:v>
      </x:c>
      <x:c r="B124" s="49" t="str">
        <x:v>PT-0084</x:v>
      </x:c>
      <x:c r="C124" s="49" t="str">
        <x:v>Thu</x:v>
      </x:c>
      <x:c r="D124" s="49" t="str">
        <x:v>Bán hàng</x:v>
      </x:c>
      <x:c r="E124" s="49" t="str">
        <x:v>Doanh thu bán hàng trong ngày - tiền mặt</x:v>
      </x:c>
      <x:c r="F124" s="49" t="str">
        <x:v>Tiền mặt</x:v>
      </x:c>
      <x:c r="G124" s="58" t="n">
        <x:v>2214000</x:v>
      </x:c>
      <x:c r="H124" s="58" t="n">
        <x:v>0</x:v>
      </x:c>
      <x:c r="I124" s="61" t="n">
        <x:f>G124-H124</x:f>
        <x:v>2214000</x:v>
      </x:c>
      <x:c r="J124" s="61" t="n">
        <x:f>J123+I124</x:f>
        <x:v>397127470</x:v>
      </x:c>
      <x:c r="K124" s="50" t="str">
        <x:v>BH-20260512</x:v>
      </x:c>
    </x:row>
    <x:row r="125">
      <x:c r="A125" s="55" t="n">
        <x:v>46154</x:v>
      </x:c>
      <x:c r="B125" s="49" t="str">
        <x:v>PT-0085</x:v>
      </x:c>
      <x:c r="C125" s="49" t="str">
        <x:v>Thu</x:v>
      </x:c>
      <x:c r="D125" s="49" t="str">
        <x:v>Bán hàng</x:v>
      </x:c>
      <x:c r="E125" s="49" t="str">
        <x:v>Doanh thu bán hàng trong ngày - QR/chuyển khoản</x:v>
      </x:c>
      <x:c r="F125" s="49" t="str">
        <x:v>Ngân hàng</x:v>
      </x:c>
      <x:c r="G125" s="58" t="n">
        <x:v>4564600</x:v>
      </x:c>
      <x:c r="H125" s="58" t="n">
        <x:v>0</x:v>
      </x:c>
      <x:c r="I125" s="61" t="n">
        <x:f>G125-H125</x:f>
        <x:v>4564600</x:v>
      </x:c>
      <x:c r="J125" s="61" t="n">
        <x:f>J124+I125</x:f>
        <x:v>401692070</x:v>
      </x:c>
      <x:c r="K125" s="50" t="str">
        <x:v>BH-20260512</x:v>
      </x:c>
    </x:row>
    <x:row r="126">
      <x:c r="A126" s="55" t="n">
        <x:v>46155</x:v>
      </x:c>
      <x:c r="B126" s="49" t="str">
        <x:v>PC-0220</x:v>
      </x:c>
      <x:c r="C126" s="49" t="str">
        <x:v>Chi</x:v>
      </x:c>
      <x:c r="D126" s="49" t="str">
        <x:v>Cà phê hạt</x:v>
      </x:c>
      <x:c r="E126" s="49" t="str">
        <x:v>Cà phê hạt rang</x:v>
      </x:c>
      <x:c r="F126" s="49" t="str">
        <x:v>Ngân hàng</x:v>
      </x:c>
      <x:c r="G126" s="58" t="n">
        <x:v>0</x:v>
      </x:c>
      <x:c r="H126" s="58" t="n">
        <x:v>8227440</x:v>
      </x:c>
      <x:c r="I126" s="61" t="n">
        <x:f>G126-H126</x:f>
        <x:v>-8227440</x:v>
      </x:c>
      <x:c r="J126" s="61" t="n">
        <x:f>J125+I126</x:f>
        <x:v>393464630</x:v>
      </x:c>
      <x:c r="K126" s="50" t="str">
        <x:v>HDMH-MAU-031</x:v>
      </x:c>
    </x:row>
    <x:row r="127">
      <x:c r="A127" s="55" t="n">
        <x:v>46155</x:v>
      </x:c>
      <x:c r="B127" s="49" t="str">
        <x:v>PC-0221</x:v>
      </x:c>
      <x:c r="C127" s="49" t="str">
        <x:v>Chi</x:v>
      </x:c>
      <x:c r="D127" s="49" t="str">
        <x:v>Sữa và nguyên liệu</x:v>
      </x:c>
      <x:c r="E127" s="49" t="str">
        <x:v>Sữa tươi và sữa đặc</x:v>
      </x:c>
      <x:c r="F127" s="49" t="str">
        <x:v>Tiền mặt</x:v>
      </x:c>
      <x:c r="G127" s="58" t="n">
        <x:v>0</x:v>
      </x:c>
      <x:c r="H127" s="58" t="n">
        <x:v>6210000</x:v>
      </x:c>
      <x:c r="I127" s="61" t="n">
        <x:f>G127-H127</x:f>
        <x:v>-6210000</x:v>
      </x:c>
      <x:c r="J127" s="61" t="n">
        <x:f>J126+I127</x:f>
        <x:v>387254630</x:v>
      </x:c>
      <x:c r="K127" s="50" t="str">
        <x:v>HDMH-MAU-032</x:v>
      </x:c>
    </x:row>
    <x:row r="128">
      <x:c r="A128" s="55" t="n">
        <x:v>46155</x:v>
      </x:c>
      <x:c r="B128" s="49" t="str">
        <x:v>PC-0222</x:v>
      </x:c>
      <x:c r="C128" s="49" t="str">
        <x:v>Chi</x:v>
      </x:c>
      <x:c r="D128" s="49" t="str">
        <x:v>Bao bì</x:v>
      </x:c>
      <x:c r="E128" s="49" t="str">
        <x:v>Cốc, nắp và túi mang đi</x:v>
      </x:c>
      <x:c r="F128" s="49" t="str">
        <x:v>Ngân hàng</x:v>
      </x:c>
      <x:c r="G128" s="58" t="n">
        <x:v>0</x:v>
      </x:c>
      <x:c r="H128" s="58" t="n">
        <x:v>3096360</x:v>
      </x:c>
      <x:c r="I128" s="61" t="n">
        <x:f>G128-H128</x:f>
        <x:v>-3096360</x:v>
      </x:c>
      <x:c r="J128" s="61" t="n">
        <x:f>J127+I128</x:f>
        <x:v>384158270</x:v>
      </x:c>
      <x:c r="K128" s="50" t="str">
        <x:v>HDMH-MAU-033</x:v>
      </x:c>
    </x:row>
    <x:row r="129">
      <x:c r="A129" s="55" t="n">
        <x:v>46155</x:v>
      </x:c>
      <x:c r="B129" s="49" t="str">
        <x:v>PC-0223</x:v>
      </x:c>
      <x:c r="C129" s="49" t="str">
        <x:v>Chi</x:v>
      </x:c>
      <x:c r="D129" s="49" t="str">
        <x:v>Bánh</x:v>
      </x:c>
      <x:c r="E129" s="49" t="str">
        <x:v>Bánh ngọt giao tuần</x:v>
      </x:c>
      <x:c r="F129" s="49" t="str">
        <x:v>Tiền mặt</x:v>
      </x:c>
      <x:c r="G129" s="58" t="n">
        <x:v>0</x:v>
      </x:c>
      <x:c r="H129" s="58" t="n">
        <x:v>5405400</x:v>
      </x:c>
      <x:c r="I129" s="61" t="n">
        <x:f>G129-H129</x:f>
        <x:v>-5405400</x:v>
      </x:c>
      <x:c r="J129" s="61" t="n">
        <x:f>J128+I129</x:f>
        <x:v>378752870</x:v>
      </x:c>
      <x:c r="K129" s="50" t="str">
        <x:v>HDMH-MAU-034</x:v>
      </x:c>
    </x:row>
    <x:row r="130">
      <x:c r="A130" s="55" t="n">
        <x:v>46155</x:v>
      </x:c>
      <x:c r="B130" s="49" t="str">
        <x:v>PC-0224</x:v>
      </x:c>
      <x:c r="C130" s="49" t="str">
        <x:v>Chi</x:v>
      </x:c>
      <x:c r="D130" s="49" t="str">
        <x:v>Marketing</x:v>
      </x:c>
      <x:c r="E130" s="49" t="str">
        <x:v>Quảng cáo mạng xã hội</x:v>
      </x:c>
      <x:c r="F130" s="49" t="str">
        <x:v>Ngân hàng</x:v>
      </x:c>
      <x:c r="G130" s="58" t="n">
        <x:v>0</x:v>
      </x:c>
      <x:c r="H130" s="58" t="n">
        <x:v>2416700</x:v>
      </x:c>
      <x:c r="I130" s="61" t="n">
        <x:f>G130-H130</x:f>
        <x:v>-2416700</x:v>
      </x:c>
      <x:c r="J130" s="61" t="n">
        <x:f>J129+I130</x:f>
        <x:v>376336170</x:v>
      </x:c>
      <x:c r="K130" s="50" t="str">
        <x:v>HDMH-MAU-035</x:v>
      </x:c>
    </x:row>
    <x:row r="131">
      <x:c r="A131" s="55" t="n">
        <x:v>46155</x:v>
      </x:c>
      <x:c r="B131" s="49" t="str">
        <x:v>PT-0086</x:v>
      </x:c>
      <x:c r="C131" s="49" t="str">
        <x:v>Thu</x:v>
      </x:c>
      <x:c r="D131" s="49" t="str">
        <x:v>Bán hàng</x:v>
      </x:c>
      <x:c r="E131" s="49" t="str">
        <x:v>Doanh thu bán hàng trong ngày - tiền mặt</x:v>
      </x:c>
      <x:c r="F131" s="49" t="str">
        <x:v>Tiền mặt</x:v>
      </x:c>
      <x:c r="G131" s="58" t="n">
        <x:v>2585000</x:v>
      </x:c>
      <x:c r="H131" s="58" t="n">
        <x:v>0</x:v>
      </x:c>
      <x:c r="I131" s="61" t="n">
        <x:f>G131-H131</x:f>
        <x:v>2585000</x:v>
      </x:c>
      <x:c r="J131" s="61" t="n">
        <x:f>J130+I131</x:f>
        <x:v>378921170</x:v>
      </x:c>
      <x:c r="K131" s="50" t="str">
        <x:v>BH-20260513</x:v>
      </x:c>
    </x:row>
    <x:row r="132">
      <x:c r="A132" s="55" t="n">
        <x:v>46155</x:v>
      </x:c>
      <x:c r="B132" s="49" t="str">
        <x:v>PT-0087</x:v>
      </x:c>
      <x:c r="C132" s="49" t="str">
        <x:v>Thu</x:v>
      </x:c>
      <x:c r="D132" s="49" t="str">
        <x:v>Bán hàng</x:v>
      </x:c>
      <x:c r="E132" s="49" t="str">
        <x:v>Doanh thu bán hàng trong ngày - QR/chuyển khoản</x:v>
      </x:c>
      <x:c r="F132" s="49" t="str">
        <x:v>Ngân hàng</x:v>
      </x:c>
      <x:c r="G132" s="58" t="n">
        <x:v>4641050</x:v>
      </x:c>
      <x:c r="H132" s="58" t="n">
        <x:v>0</x:v>
      </x:c>
      <x:c r="I132" s="61" t="n">
        <x:f>G132-H132</x:f>
        <x:v>4641050</x:v>
      </x:c>
      <x:c r="J132" s="61" t="n">
        <x:f>J131+I132</x:f>
        <x:v>383562220</x:v>
      </x:c>
      <x:c r="K132" s="50" t="str">
        <x:v>BH-20260513</x:v>
      </x:c>
    </x:row>
    <x:row r="133">
      <x:c r="A133" s="55" t="n">
        <x:v>46156</x:v>
      </x:c>
      <x:c r="B133" s="49" t="str">
        <x:v>PT-0088</x:v>
      </x:c>
      <x:c r="C133" s="49" t="str">
        <x:v>Thu</x:v>
      </x:c>
      <x:c r="D133" s="49" t="str">
        <x:v>Bán hàng</x:v>
      </x:c>
      <x:c r="E133" s="49" t="str">
        <x:v>Doanh thu bán hàng trong ngày - tiền mặt</x:v>
      </x:c>
      <x:c r="F133" s="49" t="str">
        <x:v>Tiền mặt</x:v>
      </x:c>
      <x:c r="G133" s="58" t="n">
        <x:v>2233000</x:v>
      </x:c>
      <x:c r="H133" s="58" t="n">
        <x:v>0</x:v>
      </x:c>
      <x:c r="I133" s="61" t="n">
        <x:f>G133-H133</x:f>
        <x:v>2233000</x:v>
      </x:c>
      <x:c r="J133" s="61" t="n">
        <x:f>J132+I133</x:f>
        <x:v>385795220</x:v>
      </x:c>
      <x:c r="K133" s="50" t="str">
        <x:v>BH-20260514</x:v>
      </x:c>
    </x:row>
    <x:row r="134">
      <x:c r="A134" s="55" t="n">
        <x:v>46156</x:v>
      </x:c>
      <x:c r="B134" s="49" t="str">
        <x:v>PT-0089</x:v>
      </x:c>
      <x:c r="C134" s="49" t="str">
        <x:v>Thu</x:v>
      </x:c>
      <x:c r="D134" s="49" t="str">
        <x:v>Bán hàng</x:v>
      </x:c>
      <x:c r="E134" s="49" t="str">
        <x:v>Doanh thu bán hàng trong ngày - QR/chuyển khoản</x:v>
      </x:c>
      <x:c r="F134" s="49" t="str">
        <x:v>Ngân hàng</x:v>
      </x:c>
      <x:c r="G134" s="58" t="n">
        <x:v>4592100</x:v>
      </x:c>
      <x:c r="H134" s="58" t="n">
        <x:v>0</x:v>
      </x:c>
      <x:c r="I134" s="61" t="n">
        <x:f>G134-H134</x:f>
        <x:v>4592100</x:v>
      </x:c>
      <x:c r="J134" s="61" t="n">
        <x:f>J133+I134</x:f>
        <x:v>390387320</x:v>
      </x:c>
      <x:c r="K134" s="50" t="str">
        <x:v>BH-20260514</x:v>
      </x:c>
    </x:row>
    <x:row r="135">
      <x:c r="A135" s="55" t="n">
        <x:v>46157</x:v>
      </x:c>
      <x:c r="B135" s="49" t="str">
        <x:v>PC-0225</x:v>
      </x:c>
      <x:c r="C135" s="49" t="str">
        <x:v>Chi</x:v>
      </x:c>
      <x:c r="D135" s="49" t="str">
        <x:v>Điện nước</x:v>
      </x:c>
      <x:c r="E135" s="49" t="str">
        <x:v>Điện, nước, internet tháng 05/2026</x:v>
      </x:c>
      <x:c r="F135" s="49" t="str">
        <x:v>Ngân hàng</x:v>
      </x:c>
      <x:c r="G135" s="58" t="n">
        <x:v>0</x:v>
      </x:c>
      <x:c r="H135" s="58" t="n">
        <x:v>14313200</x:v>
      </x:c>
      <x:c r="I135" s="61" t="n">
        <x:f>G135-H135</x:f>
        <x:v>-14313200</x:v>
      </x:c>
      <x:c r="J135" s="61" t="n">
        <x:f>J134+I135</x:f>
        <x:v>376074120</x:v>
      </x:c>
      <x:c r="K135" s="50" t="str">
        <x:v>CP-DIENNUOC-202605</x:v>
      </x:c>
    </x:row>
    <x:row r="136">
      <x:c r="A136" s="55" t="n">
        <x:v>46157</x:v>
      </x:c>
      <x:c r="B136" s="49" t="str">
        <x:v>PT-0090</x:v>
      </x:c>
      <x:c r="C136" s="49" t="str">
        <x:v>Thu</x:v>
      </x:c>
      <x:c r="D136" s="49" t="str">
        <x:v>Bán hàng</x:v>
      </x:c>
      <x:c r="E136" s="49" t="str">
        <x:v>Doanh thu bán hàng trong ngày - tiền mặt</x:v>
      </x:c>
      <x:c r="F136" s="49" t="str">
        <x:v>Tiền mặt</x:v>
      </x:c>
      <x:c r="G136" s="58" t="n">
        <x:v>2255000</x:v>
      </x:c>
      <x:c r="H136" s="58" t="n">
        <x:v>0</x:v>
      </x:c>
      <x:c r="I136" s="61" t="n">
        <x:f>G136-H136</x:f>
        <x:v>2255000</x:v>
      </x:c>
      <x:c r="J136" s="61" t="n">
        <x:f>J135+I136</x:f>
        <x:v>378329120</x:v>
      </x:c>
      <x:c r="K136" s="50" t="str">
        <x:v>BH-20260515</x:v>
      </x:c>
    </x:row>
    <x:row r="137">
      <x:c r="A137" s="55" t="n">
        <x:v>46157</x:v>
      </x:c>
      <x:c r="B137" s="49" t="str">
        <x:v>PT-0091</x:v>
      </x:c>
      <x:c r="C137" s="49" t="str">
        <x:v>Thu</x:v>
      </x:c>
      <x:c r="D137" s="49" t="str">
        <x:v>Bán hàng</x:v>
      </x:c>
      <x:c r="E137" s="49" t="str">
        <x:v>Doanh thu bán hàng trong ngày - QR/chuyển khoản</x:v>
      </x:c>
      <x:c r="F137" s="49" t="str">
        <x:v>Ngân hàng</x:v>
      </x:c>
      <x:c r="G137" s="58" t="n">
        <x:v>4653000</x:v>
      </x:c>
      <x:c r="H137" s="58" t="n">
        <x:v>0</x:v>
      </x:c>
      <x:c r="I137" s="61" t="n">
        <x:f>G137-H137</x:f>
        <x:v>4653000</x:v>
      </x:c>
      <x:c r="J137" s="61" t="n">
        <x:f>J136+I137</x:f>
        <x:v>382982120</x:v>
      </x:c>
      <x:c r="K137" s="50" t="str">
        <x:v>BH-20260515</x:v>
      </x:c>
    </x:row>
    <x:row r="138">
      <x:c r="A138" s="55" t="n">
        <x:v>46158</x:v>
      </x:c>
      <x:c r="B138" s="49" t="str">
        <x:v>PT-0092</x:v>
      </x:c>
      <x:c r="C138" s="49" t="str">
        <x:v>Thu</x:v>
      </x:c>
      <x:c r="D138" s="49" t="str">
        <x:v>Bán hàng</x:v>
      </x:c>
      <x:c r="E138" s="49" t="str">
        <x:v>Doanh thu bán hàng trong ngày - tiền mặt</x:v>
      </x:c>
      <x:c r="F138" s="49" t="str">
        <x:v>Tiền mặt</x:v>
      </x:c>
      <x:c r="G138" s="58" t="n">
        <x:v>3092000</x:v>
      </x:c>
      <x:c r="H138" s="58" t="n">
        <x:v>0</x:v>
      </x:c>
      <x:c r="I138" s="61" t="n">
        <x:f>G138-H138</x:f>
        <x:v>3092000</x:v>
      </x:c>
      <x:c r="J138" s="61" t="n">
        <x:f>J137+I138</x:f>
        <x:v>386074120</x:v>
      </x:c>
      <x:c r="K138" s="50" t="str">
        <x:v>BH-20260516</x:v>
      </x:c>
    </x:row>
    <x:row r="139">
      <x:c r="A139" s="55" t="n">
        <x:v>46158</x:v>
      </x:c>
      <x:c r="B139" s="49" t="str">
        <x:v>PT-0093</x:v>
      </x:c>
      <x:c r="C139" s="49" t="str">
        <x:v>Thu</x:v>
      </x:c>
      <x:c r="D139" s="49" t="str">
        <x:v>Bán hàng</x:v>
      </x:c>
      <x:c r="E139" s="49" t="str">
        <x:v>Doanh thu bán hàng trong ngày - QR/chuyển khoản</x:v>
      </x:c>
      <x:c r="F139" s="49" t="str">
        <x:v>Ngân hàng</x:v>
      </x:c>
      <x:c r="G139" s="58" t="n">
        <x:v>5307800</x:v>
      </x:c>
      <x:c r="H139" s="58" t="n">
        <x:v>0</x:v>
      </x:c>
      <x:c r="I139" s="61" t="n">
        <x:f>G139-H139</x:f>
        <x:v>5307800</x:v>
      </x:c>
      <x:c r="J139" s="61" t="n">
        <x:f>J138+I139</x:f>
        <x:v>391381920</x:v>
      </x:c>
      <x:c r="K139" s="50" t="str">
        <x:v>BH-20260516</x:v>
      </x:c>
    </x:row>
    <x:row r="140">
      <x:c r="A140" s="55" t="n">
        <x:v>46159</x:v>
      </x:c>
      <x:c r="B140" s="49" t="str">
        <x:v>PT-0094</x:v>
      </x:c>
      <x:c r="C140" s="49" t="str">
        <x:v>Thu</x:v>
      </x:c>
      <x:c r="D140" s="49" t="str">
        <x:v>Bán hàng</x:v>
      </x:c>
      <x:c r="E140" s="49" t="str">
        <x:v>Doanh thu bán hàng trong ngày - tiền mặt</x:v>
      </x:c>
      <x:c r="F140" s="49" t="str">
        <x:v>Tiền mặt</x:v>
      </x:c>
      <x:c r="G140" s="58" t="n">
        <x:v>2746000</x:v>
      </x:c>
      <x:c r="H140" s="58" t="n">
        <x:v>0</x:v>
      </x:c>
      <x:c r="I140" s="61" t="n">
        <x:f>G140-H140</x:f>
        <x:v>2746000</x:v>
      </x:c>
      <x:c r="J140" s="61" t="n">
        <x:f>J139+I140</x:f>
        <x:v>394127920</x:v>
      </x:c>
      <x:c r="K140" s="50" t="str">
        <x:v>BH-20260517</x:v>
      </x:c>
    </x:row>
    <x:row r="141">
      <x:c r="A141" s="55" t="n">
        <x:v>46159</x:v>
      </x:c>
      <x:c r="B141" s="49" t="str">
        <x:v>PT-0095</x:v>
      </x:c>
      <x:c r="C141" s="49" t="str">
        <x:v>Thu</x:v>
      </x:c>
      <x:c r="D141" s="49" t="str">
        <x:v>Bán hàng</x:v>
      </x:c>
      <x:c r="E141" s="49" t="str">
        <x:v>Doanh thu bán hàng trong ngày - QR/chuyển khoản</x:v>
      </x:c>
      <x:c r="F141" s="49" t="str">
        <x:v>Ngân hàng</x:v>
      </x:c>
      <x:c r="G141" s="58" t="n">
        <x:v>6099750</x:v>
      </x:c>
      <x:c r="H141" s="58" t="n">
        <x:v>0</x:v>
      </x:c>
      <x:c r="I141" s="61" t="n">
        <x:f>G141-H141</x:f>
        <x:v>6099750</x:v>
      </x:c>
      <x:c r="J141" s="61" t="n">
        <x:f>J140+I141</x:f>
        <x:v>400227670</x:v>
      </x:c>
      <x:c r="K141" s="50" t="str">
        <x:v>BH-20260517</x:v>
      </x:c>
    </x:row>
    <x:row r="142">
      <x:c r="A142" s="55" t="n">
        <x:v>46160</x:v>
      </x:c>
      <x:c r="B142" s="49" t="str">
        <x:v>PT-0096</x:v>
      </x:c>
      <x:c r="C142" s="49" t="str">
        <x:v>Thu</x:v>
      </x:c>
      <x:c r="D142" s="49" t="str">
        <x:v>Bán hàng</x:v>
      </x:c>
      <x:c r="E142" s="49" t="str">
        <x:v>Doanh thu bán hàng trong ngày - tiền mặt</x:v>
      </x:c>
      <x:c r="F142" s="49" t="str">
        <x:v>Tiền mặt</x:v>
      </x:c>
      <x:c r="G142" s="58" t="n">
        <x:v>2337000</x:v>
      </x:c>
      <x:c r="H142" s="58" t="n">
        <x:v>0</x:v>
      </x:c>
      <x:c r="I142" s="61" t="n">
        <x:f>G142-H142</x:f>
        <x:v>2337000</x:v>
      </x:c>
      <x:c r="J142" s="61" t="n">
        <x:f>J141+I142</x:f>
        <x:v>402564670</x:v>
      </x:c>
      <x:c r="K142" s="50" t="str">
        <x:v>BH-20260518</x:v>
      </x:c>
    </x:row>
    <x:row r="143">
      <x:c r="A143" s="55" t="n">
        <x:v>46160</x:v>
      </x:c>
      <x:c r="B143" s="49" t="str">
        <x:v>PT-0097</x:v>
      </x:c>
      <x:c r="C143" s="49" t="str">
        <x:v>Thu</x:v>
      </x:c>
      <x:c r="D143" s="49" t="str">
        <x:v>Bán hàng</x:v>
      </x:c>
      <x:c r="E143" s="49" t="str">
        <x:v>Doanh thu bán hàng trong ngày - QR/chuyển khoản</x:v>
      </x:c>
      <x:c r="F143" s="49" t="str">
        <x:v>Ngân hàng</x:v>
      </x:c>
      <x:c r="G143" s="58" t="n">
        <x:v>4176050</x:v>
      </x:c>
      <x:c r="H143" s="58" t="n">
        <x:v>0</x:v>
      </x:c>
      <x:c r="I143" s="61" t="n">
        <x:f>G143-H143</x:f>
        <x:v>4176050</x:v>
      </x:c>
      <x:c r="J143" s="61" t="n">
        <x:f>J142+I143</x:f>
        <x:v>406740720</x:v>
      </x:c>
      <x:c r="K143" s="50" t="str">
        <x:v>BH-20260518</x:v>
      </x:c>
    </x:row>
    <x:row r="144">
      <x:c r="A144" s="55" t="n">
        <x:v>46161</x:v>
      </x:c>
      <x:c r="B144" s="49" t="str">
        <x:v>PT-0098</x:v>
      </x:c>
      <x:c r="C144" s="49" t="str">
        <x:v>Thu</x:v>
      </x:c>
      <x:c r="D144" s="49" t="str">
        <x:v>Bán hàng</x:v>
      </x:c>
      <x:c r="E144" s="49" t="str">
        <x:v>Doanh thu bán hàng trong ngày - tiền mặt</x:v>
      </x:c>
      <x:c r="F144" s="49" t="str">
        <x:v>Tiền mặt</x:v>
      </x:c>
      <x:c r="G144" s="58" t="n">
        <x:v>2236000</x:v>
      </x:c>
      <x:c r="H144" s="58" t="n">
        <x:v>0</x:v>
      </x:c>
      <x:c r="I144" s="61" t="n">
        <x:f>G144-H144</x:f>
        <x:v>2236000</x:v>
      </x:c>
      <x:c r="J144" s="61" t="n">
        <x:f>J143+I144</x:f>
        <x:v>408976720</x:v>
      </x:c>
      <x:c r="K144" s="50" t="str">
        <x:v>BH-20260519</x:v>
      </x:c>
    </x:row>
    <x:row r="145">
      <x:c r="A145" s="55" t="n">
        <x:v>46161</x:v>
      </x:c>
      <x:c r="B145" s="49" t="str">
        <x:v>PT-0099</x:v>
      </x:c>
      <x:c r="C145" s="49" t="str">
        <x:v>Thu</x:v>
      </x:c>
      <x:c r="D145" s="49" t="str">
        <x:v>Bán hàng</x:v>
      </x:c>
      <x:c r="E145" s="49" t="str">
        <x:v>Doanh thu bán hàng trong ngày - QR/chuyển khoản</x:v>
      </x:c>
      <x:c r="F145" s="49" t="str">
        <x:v>Ngân hàng</x:v>
      </x:c>
      <x:c r="G145" s="58" t="n">
        <x:v>4319000</x:v>
      </x:c>
      <x:c r="H145" s="58" t="n">
        <x:v>0</x:v>
      </x:c>
      <x:c r="I145" s="61" t="n">
        <x:f>G145-H145</x:f>
        <x:v>4319000</x:v>
      </x:c>
      <x:c r="J145" s="61" t="n">
        <x:f>J144+I145</x:f>
        <x:v>413295720</x:v>
      </x:c>
      <x:c r="K145" s="50" t="str">
        <x:v>BH-20260519</x:v>
      </x:c>
    </x:row>
    <x:row r="146">
      <x:c r="A146" s="55" t="n">
        <x:v>46162</x:v>
      </x:c>
      <x:c r="B146" s="49" t="str">
        <x:v>PC-0226</x:v>
      </x:c>
      <x:c r="C146" s="49" t="str">
        <x:v>Chi</x:v>
      </x:c>
      <x:c r="D146" s="49" t="str">
        <x:v>Phần mềm</x:v>
      </x:c>
      <x:c r="E146" s="49" t="str">
        <x:v>POS và phần mềm tháng 05/2026</x:v>
      </x:c>
      <x:c r="F146" s="49" t="str">
        <x:v>Ngân hàng</x:v>
      </x:c>
      <x:c r="G146" s="58" t="n">
        <x:v>0</x:v>
      </x:c>
      <x:c r="H146" s="58" t="n">
        <x:v>1980000</x:v>
      </x:c>
      <x:c r="I146" s="61" t="n">
        <x:f>G146-H146</x:f>
        <x:v>-1980000</x:v>
      </x:c>
      <x:c r="J146" s="61" t="n">
        <x:f>J145+I146</x:f>
        <x:v>411315720</x:v>
      </x:c>
      <x:c r="K146" s="50" t="str">
        <x:v>CP-PHANMEM-202605</x:v>
      </x:c>
    </x:row>
    <x:row r="147">
      <x:c r="A147" s="55" t="n">
        <x:v>46162</x:v>
      </x:c>
      <x:c r="B147" s="49" t="str">
        <x:v>PC-0227</x:v>
      </x:c>
      <x:c r="C147" s="49" t="str">
        <x:v>Chi</x:v>
      </x:c>
      <x:c r="D147" s="49" t="str">
        <x:v>Cà phê hạt</x:v>
      </x:c>
      <x:c r="E147" s="49" t="str">
        <x:v>Cà phê hạt rang</x:v>
      </x:c>
      <x:c r="F147" s="49" t="str">
        <x:v>Ngân hàng</x:v>
      </x:c>
      <x:c r="G147" s="58" t="n">
        <x:v>0</x:v>
      </x:c>
      <x:c r="H147" s="58" t="n">
        <x:v>7884000</x:v>
      </x:c>
      <x:c r="I147" s="61" t="n">
        <x:f>G147-H147</x:f>
        <x:v>-7884000</x:v>
      </x:c>
      <x:c r="J147" s="61" t="n">
        <x:f>J146+I147</x:f>
        <x:v>403431720</x:v>
      </x:c>
      <x:c r="K147" s="50" t="str">
        <x:v>HDMH-MAU-036</x:v>
      </x:c>
    </x:row>
    <x:row r="148">
      <x:c r="A148" s="55" t="n">
        <x:v>46162</x:v>
      </x:c>
      <x:c r="B148" s="49" t="str">
        <x:v>PC-0228</x:v>
      </x:c>
      <x:c r="C148" s="49" t="str">
        <x:v>Chi</x:v>
      </x:c>
      <x:c r="D148" s="49" t="str">
        <x:v>Sữa và nguyên liệu</x:v>
      </x:c>
      <x:c r="E148" s="49" t="str">
        <x:v>Sữa tươi và sữa đặc</x:v>
      </x:c>
      <x:c r="F148" s="49" t="str">
        <x:v>Tiền mặt</x:v>
      </x:c>
      <x:c r="G148" s="58" t="n">
        <x:v>0</x:v>
      </x:c>
      <x:c r="H148" s="58" t="n">
        <x:v>5996160</x:v>
      </x:c>
      <x:c r="I148" s="61" t="n">
        <x:f>G148-H148</x:f>
        <x:v>-5996160</x:v>
      </x:c>
      <x:c r="J148" s="61" t="n">
        <x:f>J147+I148</x:f>
        <x:v>397435560</x:v>
      </x:c>
      <x:c r="K148" s="50" t="str">
        <x:v>HDMH-MAU-037</x:v>
      </x:c>
    </x:row>
    <x:row r="149">
      <x:c r="A149" s="55" t="n">
        <x:v>46162</x:v>
      </x:c>
      <x:c r="B149" s="49" t="str">
        <x:v>PC-0229</x:v>
      </x:c>
      <x:c r="C149" s="49" t="str">
        <x:v>Chi</x:v>
      </x:c>
      <x:c r="D149" s="49" t="str">
        <x:v>Bao bì</x:v>
      </x:c>
      <x:c r="E149" s="49" t="str">
        <x:v>Cốc, nắp và túi mang đi</x:v>
      </x:c>
      <x:c r="F149" s="49" t="str">
        <x:v>Ngân hàng</x:v>
      </x:c>
      <x:c r="G149" s="58" t="n">
        <x:v>0</x:v>
      </x:c>
      <x:c r="H149" s="58" t="n">
        <x:v>3097440</x:v>
      </x:c>
      <x:c r="I149" s="61" t="n">
        <x:f>G149-H149</x:f>
        <x:v>-3097440</x:v>
      </x:c>
      <x:c r="J149" s="61" t="n">
        <x:f>J148+I149</x:f>
        <x:v>394338120</x:v>
      </x:c>
      <x:c r="K149" s="50" t="str">
        <x:v>HDMH-MAU-038</x:v>
      </x:c>
    </x:row>
    <x:row r="150">
      <x:c r="A150" s="55" t="n">
        <x:v>46162</x:v>
      </x:c>
      <x:c r="B150" s="49" t="str">
        <x:v>PC-0230</x:v>
      </x:c>
      <x:c r="C150" s="49" t="str">
        <x:v>Chi</x:v>
      </x:c>
      <x:c r="D150" s="49" t="str">
        <x:v>Bánh</x:v>
      </x:c>
      <x:c r="E150" s="49" t="str">
        <x:v>Bánh ngọt giao tuần</x:v>
      </x:c>
      <x:c r="F150" s="49" t="str">
        <x:v>Tiền mặt</x:v>
      </x:c>
      <x:c r="G150" s="58" t="n">
        <x:v>0</x:v>
      </x:c>
      <x:c r="H150" s="58" t="n">
        <x:v>5319000</x:v>
      </x:c>
      <x:c r="I150" s="61" t="n">
        <x:f>G150-H150</x:f>
        <x:v>-5319000</x:v>
      </x:c>
      <x:c r="J150" s="61" t="n">
        <x:f>J149+I150</x:f>
        <x:v>389019120</x:v>
      </x:c>
      <x:c r="K150" s="50" t="str">
        <x:v>HDMH-MAU-039</x:v>
      </x:c>
    </x:row>
    <x:row r="151">
      <x:c r="A151" s="55" t="n">
        <x:v>46162</x:v>
      </x:c>
      <x:c r="B151" s="49" t="str">
        <x:v>PC-0231</x:v>
      </x:c>
      <x:c r="C151" s="49" t="str">
        <x:v>Chi</x:v>
      </x:c>
      <x:c r="D151" s="49" t="str">
        <x:v>Marketing</x:v>
      </x:c>
      <x:c r="E151" s="49" t="str">
        <x:v>Quảng cáo mạng xã hội</x:v>
      </x:c>
      <x:c r="F151" s="49" t="str">
        <x:v>Ngân hàng</x:v>
      </x:c>
      <x:c r="G151" s="58" t="n">
        <x:v>0</x:v>
      </x:c>
      <x:c r="H151" s="58" t="n">
        <x:v>2374900</x:v>
      </x:c>
      <x:c r="I151" s="61" t="n">
        <x:f>G151-H151</x:f>
        <x:v>-2374900</x:v>
      </x:c>
      <x:c r="J151" s="61" t="n">
        <x:f>J150+I151</x:f>
        <x:v>386644220</x:v>
      </x:c>
      <x:c r="K151" s="50" t="str">
        <x:v>HDMH-MAU-040</x:v>
      </x:c>
    </x:row>
    <x:row r="152">
      <x:c r="A152" s="55" t="n">
        <x:v>46162</x:v>
      </x:c>
      <x:c r="B152" s="49" t="str">
        <x:v>PT-0100</x:v>
      </x:c>
      <x:c r="C152" s="49" t="str">
        <x:v>Thu</x:v>
      </x:c>
      <x:c r="D152" s="49" t="str">
        <x:v>Bán hàng</x:v>
      </x:c>
      <x:c r="E152" s="49" t="str">
        <x:v>Doanh thu bán hàng trong ngày - tiền mặt</x:v>
      </x:c>
      <x:c r="F152" s="49" t="str">
        <x:v>Tiền mặt</x:v>
      </x:c>
      <x:c r="G152" s="58" t="n">
        <x:v>2039000</x:v>
      </x:c>
      <x:c r="H152" s="58" t="n">
        <x:v>0</x:v>
      </x:c>
      <x:c r="I152" s="61" t="n">
        <x:f>G152-H152</x:f>
        <x:v>2039000</x:v>
      </x:c>
      <x:c r="J152" s="61" t="n">
        <x:f>J151+I152</x:f>
        <x:v>388683220</x:v>
      </x:c>
      <x:c r="K152" s="50" t="str">
        <x:v>BH-20260520</x:v>
      </x:c>
    </x:row>
    <x:row r="153">
      <x:c r="A153" s="55" t="n">
        <x:v>46162</x:v>
      </x:c>
      <x:c r="B153" s="49" t="str">
        <x:v>PT-0101</x:v>
      </x:c>
      <x:c r="C153" s="49" t="str">
        <x:v>Thu</x:v>
      </x:c>
      <x:c r="D153" s="49" t="str">
        <x:v>Bán hàng</x:v>
      </x:c>
      <x:c r="E153" s="49" t="str">
        <x:v>Doanh thu bán hàng trong ngày - QR/chuyển khoản</x:v>
      </x:c>
      <x:c r="F153" s="49" t="str">
        <x:v>Ngân hàng</x:v>
      </x:c>
      <x:c r="G153" s="58" t="n">
        <x:v>4755200</x:v>
      </x:c>
      <x:c r="H153" s="58" t="n">
        <x:v>0</x:v>
      </x:c>
      <x:c r="I153" s="61" t="n">
        <x:f>G153-H153</x:f>
        <x:v>4755200</x:v>
      </x:c>
      <x:c r="J153" s="61" t="n">
        <x:f>J152+I153</x:f>
        <x:v>393438420</x:v>
      </x:c>
      <x:c r="K153" s="50" t="str">
        <x:v>BH-20260520</x:v>
      </x:c>
    </x:row>
    <x:row r="154">
      <x:c r="A154" s="55" t="n">
        <x:v>46163</x:v>
      </x:c>
      <x:c r="B154" s="49" t="str">
        <x:v>PT-0102</x:v>
      </x:c>
      <x:c r="C154" s="49" t="str">
        <x:v>Thu</x:v>
      </x:c>
      <x:c r="D154" s="49" t="str">
        <x:v>Bán hàng</x:v>
      </x:c>
      <x:c r="E154" s="49" t="str">
        <x:v>Doanh thu bán hàng trong ngày - tiền mặt</x:v>
      </x:c>
      <x:c r="F154" s="49" t="str">
        <x:v>Tiền mặt</x:v>
      </x:c>
      <x:c r="G154" s="58" t="n">
        <x:v>2272000</x:v>
      </x:c>
      <x:c r="H154" s="58" t="n">
        <x:v>0</x:v>
      </x:c>
      <x:c r="I154" s="61" t="n">
        <x:f>G154-H154</x:f>
        <x:v>2272000</x:v>
      </x:c>
      <x:c r="J154" s="61" t="n">
        <x:f>J153+I154</x:f>
        <x:v>395710420</x:v>
      </x:c>
      <x:c r="K154" s="50" t="str">
        <x:v>BH-20260521</x:v>
      </x:c>
    </x:row>
    <x:row r="155">
      <x:c r="A155" s="55" t="n">
        <x:v>46163</x:v>
      </x:c>
      <x:c r="B155" s="49" t="str">
        <x:v>PT-0103</x:v>
      </x:c>
      <x:c r="C155" s="49" t="str">
        <x:v>Thu</x:v>
      </x:c>
      <x:c r="D155" s="49" t="str">
        <x:v>Bán hàng</x:v>
      </x:c>
      <x:c r="E155" s="49" t="str">
        <x:v>Doanh thu bán hàng trong ngày - QR/chuyển khoản</x:v>
      </x:c>
      <x:c r="F155" s="49" t="str">
        <x:v>Ngân hàng</x:v>
      </x:c>
      <x:c r="G155" s="58" t="n">
        <x:v>4816500</x:v>
      </x:c>
      <x:c r="H155" s="58" t="n">
        <x:v>0</x:v>
      </x:c>
      <x:c r="I155" s="61" t="n">
        <x:f>G155-H155</x:f>
        <x:v>4816500</x:v>
      </x:c>
      <x:c r="J155" s="61" t="n">
        <x:f>J154+I155</x:f>
        <x:v>400526920</x:v>
      </x:c>
      <x:c r="K155" s="50" t="str">
        <x:v>BH-20260521</x:v>
      </x:c>
    </x:row>
    <x:row r="156">
      <x:c r="A156" s="55" t="n">
        <x:v>46164</x:v>
      </x:c>
      <x:c r="B156" s="49" t="str">
        <x:v>PT-0104</x:v>
      </x:c>
      <x:c r="C156" s="49" t="str">
        <x:v>Thu</x:v>
      </x:c>
      <x:c r="D156" s="49" t="str">
        <x:v>Bán hàng</x:v>
      </x:c>
      <x:c r="E156" s="49" t="str">
        <x:v>Doanh thu bán hàng trong ngày - tiền mặt</x:v>
      </x:c>
      <x:c r="F156" s="49" t="str">
        <x:v>Tiền mặt</x:v>
      </x:c>
      <x:c r="G156" s="58" t="n">
        <x:v>2276000</x:v>
      </x:c>
      <x:c r="H156" s="58" t="n">
        <x:v>0</x:v>
      </x:c>
      <x:c r="I156" s="61" t="n">
        <x:f>G156-H156</x:f>
        <x:v>2276000</x:v>
      </x:c>
      <x:c r="J156" s="61" t="n">
        <x:f>J155+I156</x:f>
        <x:v>402802920</x:v>
      </x:c>
      <x:c r="K156" s="50" t="str">
        <x:v>BH-20260522</x:v>
      </x:c>
    </x:row>
    <x:row r="157">
      <x:c r="A157" s="55" t="n">
        <x:v>46164</x:v>
      </x:c>
      <x:c r="B157" s="49" t="str">
        <x:v>PT-0105</x:v>
      </x:c>
      <x:c r="C157" s="49" t="str">
        <x:v>Thu</x:v>
      </x:c>
      <x:c r="D157" s="49" t="str">
        <x:v>Bán hàng</x:v>
      </x:c>
      <x:c r="E157" s="49" t="str">
        <x:v>Doanh thu bán hàng trong ngày - QR/chuyển khoản</x:v>
      </x:c>
      <x:c r="F157" s="49" t="str">
        <x:v>Ngân hàng</x:v>
      </x:c>
      <x:c r="G157" s="58" t="n">
        <x:v>4701400</x:v>
      </x:c>
      <x:c r="H157" s="58" t="n">
        <x:v>0</x:v>
      </x:c>
      <x:c r="I157" s="61" t="n">
        <x:f>G157-H157</x:f>
        <x:v>4701400</x:v>
      </x:c>
      <x:c r="J157" s="61" t="n">
        <x:f>J156+I157</x:f>
        <x:v>407504320</x:v>
      </x:c>
      <x:c r="K157" s="50" t="str">
        <x:v>BH-20260522</x:v>
      </x:c>
    </x:row>
    <x:row r="158">
      <x:c r="A158" s="55" t="n">
        <x:v>46165</x:v>
      </x:c>
      <x:c r="B158" s="49" t="str">
        <x:v>PT-0106</x:v>
      </x:c>
      <x:c r="C158" s="49" t="str">
        <x:v>Thu</x:v>
      </x:c>
      <x:c r="D158" s="49" t="str">
        <x:v>Bán hàng</x:v>
      </x:c>
      <x:c r="E158" s="49" t="str">
        <x:v>Doanh thu bán hàng trong ngày - tiền mặt</x:v>
      </x:c>
      <x:c r="F158" s="49" t="str">
        <x:v>Tiền mặt</x:v>
      </x:c>
      <x:c r="G158" s="58" t="n">
        <x:v>2748000</x:v>
      </x:c>
      <x:c r="H158" s="58" t="n">
        <x:v>0</x:v>
      </x:c>
      <x:c r="I158" s="61" t="n">
        <x:f>G158-H158</x:f>
        <x:v>2748000</x:v>
      </x:c>
      <x:c r="J158" s="61" t="n">
        <x:f>J157+I158</x:f>
        <x:v>410252320</x:v>
      </x:c>
      <x:c r="K158" s="50" t="str">
        <x:v>BH-20260523</x:v>
      </x:c>
    </x:row>
    <x:row r="159">
      <x:c r="A159" s="55" t="n">
        <x:v>46165</x:v>
      </x:c>
      <x:c r="B159" s="49" t="str">
        <x:v>PT-0107</x:v>
      </x:c>
      <x:c r="C159" s="49" t="str">
        <x:v>Thu</x:v>
      </x:c>
      <x:c r="D159" s="49" t="str">
        <x:v>Bán hàng</x:v>
      </x:c>
      <x:c r="E159" s="49" t="str">
        <x:v>Doanh thu bán hàng trong ngày - QR/chuyển khoản</x:v>
      </x:c>
      <x:c r="F159" s="49" t="str">
        <x:v>Ngân hàng</x:v>
      </x:c>
      <x:c r="G159" s="58" t="n">
        <x:v>6197000</x:v>
      </x:c>
      <x:c r="H159" s="58" t="n">
        <x:v>0</x:v>
      </x:c>
      <x:c r="I159" s="61" t="n">
        <x:f>G159-H159</x:f>
        <x:v>6197000</x:v>
      </x:c>
      <x:c r="J159" s="61" t="n">
        <x:f>J158+I159</x:f>
        <x:v>416449320</x:v>
      </x:c>
      <x:c r="K159" s="50" t="str">
        <x:v>BH-20260523</x:v>
      </x:c>
    </x:row>
    <x:row r="160">
      <x:c r="A160" s="55" t="n">
        <x:v>46166</x:v>
      </x:c>
      <x:c r="B160" s="49" t="str">
        <x:v>PT-0108</x:v>
      </x:c>
      <x:c r="C160" s="49" t="str">
        <x:v>Thu</x:v>
      </x:c>
      <x:c r="D160" s="49" t="str">
        <x:v>Bán hàng</x:v>
      </x:c>
      <x:c r="E160" s="49" t="str">
        <x:v>Doanh thu bán hàng trong ngày - tiền mặt</x:v>
      </x:c>
      <x:c r="F160" s="49" t="str">
        <x:v>Tiền mặt</x:v>
      </x:c>
      <x:c r="G160" s="58" t="n">
        <x:v>2903000</x:v>
      </x:c>
      <x:c r="H160" s="58" t="n">
        <x:v>0</x:v>
      </x:c>
      <x:c r="I160" s="61" t="n">
        <x:f>G160-H160</x:f>
        <x:v>2903000</x:v>
      </x:c>
      <x:c r="J160" s="61" t="n">
        <x:f>J159+I160</x:f>
        <x:v>419352320</x:v>
      </x:c>
      <x:c r="K160" s="50" t="str">
        <x:v>BH-20260524</x:v>
      </x:c>
    </x:row>
    <x:row r="161">
      <x:c r="A161" s="55" t="n">
        <x:v>46166</x:v>
      </x:c>
      <x:c r="B161" s="49" t="str">
        <x:v>PT-0109</x:v>
      </x:c>
      <x:c r="C161" s="49" t="str">
        <x:v>Thu</x:v>
      </x:c>
      <x:c r="D161" s="49" t="str">
        <x:v>Bán hàng</x:v>
      </x:c>
      <x:c r="E161" s="49" t="str">
        <x:v>Doanh thu bán hàng trong ngày - QR/chuyển khoản</x:v>
      </x:c>
      <x:c r="F161" s="49" t="str">
        <x:v>Ngân hàng</x:v>
      </x:c>
      <x:c r="G161" s="58" t="n">
        <x:v>5733000</x:v>
      </x:c>
      <x:c r="H161" s="58" t="n">
        <x:v>0</x:v>
      </x:c>
      <x:c r="I161" s="61" t="n">
        <x:f>G161-H161</x:f>
        <x:v>5733000</x:v>
      </x:c>
      <x:c r="J161" s="61" t="n">
        <x:f>J160+I161</x:f>
        <x:v>425085320</x:v>
      </x:c>
      <x:c r="K161" s="50" t="str">
        <x:v>BH-20260524</x:v>
      </x:c>
    </x:row>
    <x:row r="162">
      <x:c r="A162" s="55" t="n">
        <x:v>46167</x:v>
      </x:c>
      <x:c r="B162" s="49" t="str">
        <x:v>PT-0110</x:v>
      </x:c>
      <x:c r="C162" s="49" t="str">
        <x:v>Thu</x:v>
      </x:c>
      <x:c r="D162" s="49" t="str">
        <x:v>Bán hàng</x:v>
      </x:c>
      <x:c r="E162" s="49" t="str">
        <x:v>Doanh thu bán hàng trong ngày - tiền mặt</x:v>
      </x:c>
      <x:c r="F162" s="49" t="str">
        <x:v>Tiền mặt</x:v>
      </x:c>
      <x:c r="G162" s="58" t="n">
        <x:v>2177000</x:v>
      </x:c>
      <x:c r="H162" s="58" t="n">
        <x:v>0</x:v>
      </x:c>
      <x:c r="I162" s="61" t="n">
        <x:f>G162-H162</x:f>
        <x:v>2177000</x:v>
      </x:c>
      <x:c r="J162" s="61" t="n">
        <x:f>J161+I162</x:f>
        <x:v>427262320</x:v>
      </x:c>
      <x:c r="K162" s="50" t="str">
        <x:v>BH-20260525</x:v>
      </x:c>
    </x:row>
    <x:row r="163">
      <x:c r="A163" s="55" t="n">
        <x:v>46167</x:v>
      </x:c>
      <x:c r="B163" s="49" t="str">
        <x:v>PT-0111</x:v>
      </x:c>
      <x:c r="C163" s="49" t="str">
        <x:v>Thu</x:v>
      </x:c>
      <x:c r="D163" s="49" t="str">
        <x:v>Bán hàng</x:v>
      </x:c>
      <x:c r="E163" s="49" t="str">
        <x:v>Doanh thu bán hàng trong ngày - QR/chuyển khoản</x:v>
      </x:c>
      <x:c r="F163" s="49" t="str">
        <x:v>Ngân hàng</x:v>
      </x:c>
      <x:c r="G163" s="58" t="n">
        <x:v>4682000</x:v>
      </x:c>
      <x:c r="H163" s="58" t="n">
        <x:v>0</x:v>
      </x:c>
      <x:c r="I163" s="61" t="n">
        <x:f>G163-H163</x:f>
        <x:v>4682000</x:v>
      </x:c>
      <x:c r="J163" s="61" t="n">
        <x:f>J162+I163</x:f>
        <x:v>431944320</x:v>
      </x:c>
      <x:c r="K163" s="50" t="str">
        <x:v>BH-20260525</x:v>
      </x:c>
    </x:row>
    <x:row r="164">
      <x:c r="A164" s="55" t="n">
        <x:v>46168</x:v>
      </x:c>
      <x:c r="B164" s="49" t="str">
        <x:v>PT-0112</x:v>
      </x:c>
      <x:c r="C164" s="49" t="str">
        <x:v>Thu</x:v>
      </x:c>
      <x:c r="D164" s="49" t="str">
        <x:v>Bán hàng</x:v>
      </x:c>
      <x:c r="E164" s="49" t="str">
        <x:v>Doanh thu bán hàng trong ngày - tiền mặt</x:v>
      </x:c>
      <x:c r="F164" s="49" t="str">
        <x:v>Tiền mặt</x:v>
      </x:c>
      <x:c r="G164" s="58" t="n">
        <x:v>2103000</x:v>
      </x:c>
      <x:c r="H164" s="58" t="n">
        <x:v>0</x:v>
      </x:c>
      <x:c r="I164" s="61" t="n">
        <x:f>G164-H164</x:f>
        <x:v>2103000</x:v>
      </x:c>
      <x:c r="J164" s="61" t="n">
        <x:f>J163+I164</x:f>
        <x:v>434047320</x:v>
      </x:c>
      <x:c r="K164" s="50" t="str">
        <x:v>BH-20260526</x:v>
      </x:c>
    </x:row>
    <x:row r="165">
      <x:c r="A165" s="55" t="n">
        <x:v>46168</x:v>
      </x:c>
      <x:c r="B165" s="49" t="str">
        <x:v>PT-0113</x:v>
      </x:c>
      <x:c r="C165" s="49" t="str">
        <x:v>Thu</x:v>
      </x:c>
      <x:c r="D165" s="49" t="str">
        <x:v>Bán hàng</x:v>
      </x:c>
      <x:c r="E165" s="49" t="str">
        <x:v>Doanh thu bán hàng trong ngày - QR/chuyển khoản</x:v>
      </x:c>
      <x:c r="F165" s="49" t="str">
        <x:v>Ngân hàng</x:v>
      </x:c>
      <x:c r="G165" s="58" t="n">
        <x:v>4329600</x:v>
      </x:c>
      <x:c r="H165" s="58" t="n">
        <x:v>0</x:v>
      </x:c>
      <x:c r="I165" s="61" t="n">
        <x:f>G165-H165</x:f>
        <x:v>4329600</x:v>
      </x:c>
      <x:c r="J165" s="61" t="n">
        <x:f>J164+I165</x:f>
        <x:v>438376920</x:v>
      </x:c>
      <x:c r="K165" s="50" t="str">
        <x:v>BH-20260526</x:v>
      </x:c>
    </x:row>
    <x:row r="166">
      <x:c r="A166" s="55" t="n">
        <x:v>46169</x:v>
      </x:c>
      <x:c r="B166" s="49" t="str">
        <x:v>PC-0232</x:v>
      </x:c>
      <x:c r="C166" s="49" t="str">
        <x:v>Chi</x:v>
      </x:c>
      <x:c r="D166" s="49" t="str">
        <x:v>Cà phê hạt</x:v>
      </x:c>
      <x:c r="E166" s="49" t="str">
        <x:v>Cà phê hạt rang</x:v>
      </x:c>
      <x:c r="F166" s="49" t="str">
        <x:v>Ngân hàng</x:v>
      </x:c>
      <x:c r="G166" s="58" t="n">
        <x:v>0</x:v>
      </x:c>
      <x:c r="H166" s="58" t="n">
        <x:v>7668000</x:v>
      </x:c>
      <x:c r="I166" s="61" t="n">
        <x:f>G166-H166</x:f>
        <x:v>-7668000</x:v>
      </x:c>
      <x:c r="J166" s="61" t="n">
        <x:f>J165+I166</x:f>
        <x:v>430708920</x:v>
      </x:c>
      <x:c r="K166" s="50" t="str">
        <x:v>HDMH-MAU-041</x:v>
      </x:c>
    </x:row>
    <x:row r="167">
      <x:c r="A167" s="55" t="n">
        <x:v>46169</x:v>
      </x:c>
      <x:c r="B167" s="49" t="str">
        <x:v>PC-0233</x:v>
      </x:c>
      <x:c r="C167" s="49" t="str">
        <x:v>Chi</x:v>
      </x:c>
      <x:c r="D167" s="49" t="str">
        <x:v>Sữa và nguyên liệu</x:v>
      </x:c>
      <x:c r="E167" s="49" t="str">
        <x:v>Sữa tươi và sữa đặc</x:v>
      </x:c>
      <x:c r="F167" s="49" t="str">
        <x:v>Tiền mặt</x:v>
      </x:c>
      <x:c r="G167" s="58" t="n">
        <x:v>0</x:v>
      </x:c>
      <x:c r="H167" s="58" t="n">
        <x:v>5959440</x:v>
      </x:c>
      <x:c r="I167" s="61" t="n">
        <x:f>G167-H167</x:f>
        <x:v>-5959440</x:v>
      </x:c>
      <x:c r="J167" s="61" t="n">
        <x:f>J166+I167</x:f>
        <x:v>424749480</x:v>
      </x:c>
      <x:c r="K167" s="50" t="str">
        <x:v>HDMH-MAU-042</x:v>
      </x:c>
    </x:row>
    <x:row r="168">
      <x:c r="A168" s="55" t="n">
        <x:v>46169</x:v>
      </x:c>
      <x:c r="B168" s="49" t="str">
        <x:v>PC-0234</x:v>
      </x:c>
      <x:c r="C168" s="49" t="str">
        <x:v>Chi</x:v>
      </x:c>
      <x:c r="D168" s="49" t="str">
        <x:v>Bao bì</x:v>
      </x:c>
      <x:c r="E168" s="49" t="str">
        <x:v>Cốc, nắp và túi mang đi</x:v>
      </x:c>
      <x:c r="F168" s="49" t="str">
        <x:v>Ngân hàng</x:v>
      </x:c>
      <x:c r="G168" s="58" t="n">
        <x:v>0</x:v>
      </x:c>
      <x:c r="H168" s="58" t="n">
        <x:v>3112560</x:v>
      </x:c>
      <x:c r="I168" s="61" t="n">
        <x:f>G168-H168</x:f>
        <x:v>-3112560</x:v>
      </x:c>
      <x:c r="J168" s="61" t="n">
        <x:f>J167+I168</x:f>
        <x:v>421636920</x:v>
      </x:c>
      <x:c r="K168" s="50" t="str">
        <x:v>HDMH-MAU-043</x:v>
      </x:c>
    </x:row>
    <x:row r="169">
      <x:c r="A169" s="55" t="n">
        <x:v>46169</x:v>
      </x:c>
      <x:c r="B169" s="49" t="str">
        <x:v>PC-0235</x:v>
      </x:c>
      <x:c r="C169" s="49" t="str">
        <x:v>Chi</x:v>
      </x:c>
      <x:c r="D169" s="49" t="str">
        <x:v>Bánh</x:v>
      </x:c>
      <x:c r="E169" s="49" t="str">
        <x:v>Bánh ngọt giao tuần</x:v>
      </x:c>
      <x:c r="F169" s="49" t="str">
        <x:v>Tiền mặt</x:v>
      </x:c>
      <x:c r="G169" s="58" t="n">
        <x:v>0</x:v>
      </x:c>
      <x:c r="H169" s="58" t="n">
        <x:v>5319000</x:v>
      </x:c>
      <x:c r="I169" s="61" t="n">
        <x:f>G169-H169</x:f>
        <x:v>-5319000</x:v>
      </x:c>
      <x:c r="J169" s="61" t="n">
        <x:f>J168+I169</x:f>
        <x:v>416317920</x:v>
      </x:c>
      <x:c r="K169" s="50" t="str">
        <x:v>HDMH-MAU-044</x:v>
      </x:c>
    </x:row>
    <x:row r="170">
      <x:c r="A170" s="55" t="n">
        <x:v>46169</x:v>
      </x:c>
      <x:c r="B170" s="49" t="str">
        <x:v>PC-0236</x:v>
      </x:c>
      <x:c r="C170" s="49" t="str">
        <x:v>Chi</x:v>
      </x:c>
      <x:c r="D170" s="49" t="str">
        <x:v>Marketing</x:v>
      </x:c>
      <x:c r="E170" s="49" t="str">
        <x:v>Quảng cáo mạng xã hội</x:v>
      </x:c>
      <x:c r="F170" s="49" t="str">
        <x:v>Ngân hàng</x:v>
      </x:c>
      <x:c r="G170" s="58" t="n">
        <x:v>0</x:v>
      </x:c>
      <x:c r="H170" s="58" t="n">
        <x:v>2434300</x:v>
      </x:c>
      <x:c r="I170" s="61" t="n">
        <x:f>G170-H170</x:f>
        <x:v>-2434300</x:v>
      </x:c>
      <x:c r="J170" s="61" t="n">
        <x:f>J169+I170</x:f>
        <x:v>413883620</x:v>
      </x:c>
      <x:c r="K170" s="50" t="str">
        <x:v>HDMH-MAU-045</x:v>
      </x:c>
    </x:row>
    <x:row r="171">
      <x:c r="A171" s="55" t="n">
        <x:v>46169</x:v>
      </x:c>
      <x:c r="B171" s="49" t="str">
        <x:v>PT-0114</x:v>
      </x:c>
      <x:c r="C171" s="49" t="str">
        <x:v>Thu</x:v>
      </x:c>
      <x:c r="D171" s="49" t="str">
        <x:v>Bán hàng</x:v>
      </x:c>
      <x:c r="E171" s="49" t="str">
        <x:v>Doanh thu bán hàng trong ngày - tiền mặt</x:v>
      </x:c>
      <x:c r="F171" s="49" t="str">
        <x:v>Tiền mặt</x:v>
      </x:c>
      <x:c r="G171" s="58" t="n">
        <x:v>2478000</x:v>
      </x:c>
      <x:c r="H171" s="58" t="n">
        <x:v>0</x:v>
      </x:c>
      <x:c r="I171" s="61" t="n">
        <x:f>G171-H171</x:f>
        <x:v>2478000</x:v>
      </x:c>
      <x:c r="J171" s="61" t="n">
        <x:f>J170+I171</x:f>
        <x:v>416361620</x:v>
      </x:c>
      <x:c r="K171" s="50" t="str">
        <x:v>BH-20260527</x:v>
      </x:c>
    </x:row>
    <x:row r="172">
      <x:c r="A172" s="55" t="n">
        <x:v>46169</x:v>
      </x:c>
      <x:c r="B172" s="49" t="str">
        <x:v>PT-0115</x:v>
      </x:c>
      <x:c r="C172" s="49" t="str">
        <x:v>Thu</x:v>
      </x:c>
      <x:c r="D172" s="49" t="str">
        <x:v>Bán hàng</x:v>
      </x:c>
      <x:c r="E172" s="49" t="str">
        <x:v>Doanh thu bán hàng trong ngày - QR/chuyển khoản</x:v>
      </x:c>
      <x:c r="F172" s="49" t="str">
        <x:v>Ngân hàng</x:v>
      </x:c>
      <x:c r="G172" s="58" t="n">
        <x:v>4200700</x:v>
      </x:c>
      <x:c r="H172" s="58" t="n">
        <x:v>0</x:v>
      </x:c>
      <x:c r="I172" s="61" t="n">
        <x:f>G172-H172</x:f>
        <x:v>4200700</x:v>
      </x:c>
      <x:c r="J172" s="61" t="n">
        <x:f>J171+I172</x:f>
        <x:v>420562320</x:v>
      </x:c>
      <x:c r="K172" s="50" t="str">
        <x:v>BH-20260527</x:v>
      </x:c>
    </x:row>
    <x:row r="173">
      <x:c r="A173" s="55" t="n">
        <x:v>46170</x:v>
      </x:c>
      <x:c r="B173" s="49" t="str">
        <x:v>PT-0116</x:v>
      </x:c>
      <x:c r="C173" s="49" t="str">
        <x:v>Thu</x:v>
      </x:c>
      <x:c r="D173" s="49" t="str">
        <x:v>Bán hàng</x:v>
      </x:c>
      <x:c r="E173" s="49" t="str">
        <x:v>Doanh thu bán hàng trong ngày - tiền mặt</x:v>
      </x:c>
      <x:c r="F173" s="49" t="str">
        <x:v>Tiền mặt</x:v>
      </x:c>
      <x:c r="G173" s="58" t="n">
        <x:v>2115000</x:v>
      </x:c>
      <x:c r="H173" s="58" t="n">
        <x:v>0</x:v>
      </x:c>
      <x:c r="I173" s="61" t="n">
        <x:f>G173-H173</x:f>
        <x:v>2115000</x:v>
      </x:c>
      <x:c r="J173" s="61" t="n">
        <x:f>J172+I173</x:f>
        <x:v>422677320</x:v>
      </x:c>
      <x:c r="K173" s="50" t="str">
        <x:v>BH-20260528</x:v>
      </x:c>
    </x:row>
    <x:row r="174">
      <x:c r="A174" s="55" t="n">
        <x:v>46170</x:v>
      </x:c>
      <x:c r="B174" s="49" t="str">
        <x:v>PT-0117</x:v>
      </x:c>
      <x:c r="C174" s="49" t="str">
        <x:v>Thu</x:v>
      </x:c>
      <x:c r="D174" s="49" t="str">
        <x:v>Bán hàng</x:v>
      </x:c>
      <x:c r="E174" s="49" t="str">
        <x:v>Doanh thu bán hàng trong ngày - QR/chuyển khoản</x:v>
      </x:c>
      <x:c r="F174" s="49" t="str">
        <x:v>Ngân hàng</x:v>
      </x:c>
      <x:c r="G174" s="58" t="n">
        <x:v>4913300</x:v>
      </x:c>
      <x:c r="H174" s="58" t="n">
        <x:v>0</x:v>
      </x:c>
      <x:c r="I174" s="61" t="n">
        <x:f>G174-H174</x:f>
        <x:v>4913300</x:v>
      </x:c>
      <x:c r="J174" s="61" t="n">
        <x:f>J173+I174</x:f>
        <x:v>427590620</x:v>
      </x:c>
      <x:c r="K174" s="50" t="str">
        <x:v>BH-20260528</x:v>
      </x:c>
    </x:row>
    <x:row r="175">
      <x:c r="A175" s="55" t="n">
        <x:v>46171</x:v>
      </x:c>
      <x:c r="B175" s="49" t="str">
        <x:v>PT-0118</x:v>
      </x:c>
      <x:c r="C175" s="49" t="str">
        <x:v>Thu</x:v>
      </x:c>
      <x:c r="D175" s="49" t="str">
        <x:v>Bán hàng</x:v>
      </x:c>
      <x:c r="E175" s="49" t="str">
        <x:v>Doanh thu bán hàng trong ngày - tiền mặt</x:v>
      </x:c>
      <x:c r="F175" s="49" t="str">
        <x:v>Tiền mặt</x:v>
      </x:c>
      <x:c r="G175" s="58" t="n">
        <x:v>2560000</x:v>
      </x:c>
      <x:c r="H175" s="58" t="n">
        <x:v>0</x:v>
      </x:c>
      <x:c r="I175" s="61" t="n">
        <x:f>G175-H175</x:f>
        <x:v>2560000</x:v>
      </x:c>
      <x:c r="J175" s="61" t="n">
        <x:f>J174+I175</x:f>
        <x:v>430150620</x:v>
      </x:c>
      <x:c r="K175" s="50" t="str">
        <x:v>BH-20260529</x:v>
      </x:c>
    </x:row>
    <x:row r="176">
      <x:c r="A176" s="55" t="n">
        <x:v>46171</x:v>
      </x:c>
      <x:c r="B176" s="49" t="str">
        <x:v>PT-0119</x:v>
      </x:c>
      <x:c r="C176" s="49" t="str">
        <x:v>Thu</x:v>
      </x:c>
      <x:c r="D176" s="49" t="str">
        <x:v>Bán hàng</x:v>
      </x:c>
      <x:c r="E176" s="49" t="str">
        <x:v>Doanh thu bán hàng trong ngày - QR/chuyển khoản</x:v>
      </x:c>
      <x:c r="F176" s="49" t="str">
        <x:v>Ngân hàng</x:v>
      </x:c>
      <x:c r="G176" s="58" t="n">
        <x:v>4455600</x:v>
      </x:c>
      <x:c r="H176" s="58" t="n">
        <x:v>0</x:v>
      </x:c>
      <x:c r="I176" s="61" t="n">
        <x:f>G176-H176</x:f>
        <x:v>4455600</x:v>
      </x:c>
      <x:c r="J176" s="61" t="n">
        <x:f>J175+I176</x:f>
        <x:v>434606220</x:v>
      </x:c>
      <x:c r="K176" s="50" t="str">
        <x:v>BH-20260529</x:v>
      </x:c>
    </x:row>
    <x:row r="177">
      <x:c r="A177" s="55" t="n">
        <x:v>46172</x:v>
      </x:c>
      <x:c r="B177" s="49" t="str">
        <x:v>PT-0120</x:v>
      </x:c>
      <x:c r="C177" s="49" t="str">
        <x:v>Thu</x:v>
      </x:c>
      <x:c r="D177" s="49" t="str">
        <x:v>Bán hàng</x:v>
      </x:c>
      <x:c r="E177" s="49" t="str">
        <x:v>Doanh thu bán hàng trong ngày - tiền mặt</x:v>
      </x:c>
      <x:c r="F177" s="49" t="str">
        <x:v>Tiền mặt</x:v>
      </x:c>
      <x:c r="G177" s="58" t="n">
        <x:v>3010000</x:v>
      </x:c>
      <x:c r="H177" s="58" t="n">
        <x:v>0</x:v>
      </x:c>
      <x:c r="I177" s="61" t="n">
        <x:f>G177-H177</x:f>
        <x:v>3010000</x:v>
      </x:c>
      <x:c r="J177" s="61" t="n">
        <x:f>J176+I177</x:f>
        <x:v>437616220</x:v>
      </x:c>
      <x:c r="K177" s="50" t="str">
        <x:v>BH-20260530</x:v>
      </x:c>
    </x:row>
    <x:row r="178">
      <x:c r="A178" s="55" t="n">
        <x:v>46172</x:v>
      </x:c>
      <x:c r="B178" s="49" t="str">
        <x:v>PT-0121</x:v>
      </x:c>
      <x:c r="C178" s="49" t="str">
        <x:v>Thu</x:v>
      </x:c>
      <x:c r="D178" s="49" t="str">
        <x:v>Bán hàng</x:v>
      </x:c>
      <x:c r="E178" s="49" t="str">
        <x:v>Doanh thu bán hàng trong ngày - QR/chuyển khoản</x:v>
      </x:c>
      <x:c r="F178" s="49" t="str">
        <x:v>Ngân hàng</x:v>
      </x:c>
      <x:c r="G178" s="58" t="n">
        <x:v>5820000</x:v>
      </x:c>
      <x:c r="H178" s="58" t="n">
        <x:v>0</x:v>
      </x:c>
      <x:c r="I178" s="61" t="n">
        <x:f>G178-H178</x:f>
        <x:v>5820000</x:v>
      </x:c>
      <x:c r="J178" s="61" t="n">
        <x:f>J177+I178</x:f>
        <x:v>443436220</x:v>
      </x:c>
      <x:c r="K178" s="50" t="str">
        <x:v>BH-20260530</x:v>
      </x:c>
    </x:row>
    <x:row r="179">
      <x:c r="A179" s="55" t="n">
        <x:v>46173</x:v>
      </x:c>
      <x:c r="B179" s="49" t="str">
        <x:v>PT-0122</x:v>
      </x:c>
      <x:c r="C179" s="49" t="str">
        <x:v>Thu</x:v>
      </x:c>
      <x:c r="D179" s="49" t="str">
        <x:v>Bán hàng</x:v>
      </x:c>
      <x:c r="E179" s="49" t="str">
        <x:v>Doanh thu bán hàng trong ngày - tiền mặt</x:v>
      </x:c>
      <x:c r="F179" s="49" t="str">
        <x:v>Tiền mặt</x:v>
      </x:c>
      <x:c r="G179" s="58" t="n">
        <x:v>3170000</x:v>
      </x:c>
      <x:c r="H179" s="58" t="n">
        <x:v>0</x:v>
      </x:c>
      <x:c r="I179" s="61" t="n">
        <x:f>G179-H179</x:f>
        <x:v>3170000</x:v>
      </x:c>
      <x:c r="J179" s="61" t="n">
        <x:f>J178+I179</x:f>
        <x:v>446606220</x:v>
      </x:c>
      <x:c r="K179" s="50" t="str">
        <x:v>BH-20260531</x:v>
      </x:c>
    </x:row>
    <x:row r="180">
      <x:c r="A180" s="55" t="n">
        <x:v>46173</x:v>
      </x:c>
      <x:c r="B180" s="49" t="str">
        <x:v>PT-0123</x:v>
      </x:c>
      <x:c r="C180" s="49" t="str">
        <x:v>Thu</x:v>
      </x:c>
      <x:c r="D180" s="49" t="str">
        <x:v>Bán hàng</x:v>
      </x:c>
      <x:c r="E180" s="49" t="str">
        <x:v>Doanh thu bán hàng trong ngày - QR/chuyển khoản</x:v>
      </x:c>
      <x:c r="F180" s="49" t="str">
        <x:v>Ngân hàng</x:v>
      </x:c>
      <x:c r="G180" s="58" t="n">
        <x:v>5816400</x:v>
      </x:c>
      <x:c r="H180" s="58" t="n">
        <x:v>0</x:v>
      </x:c>
      <x:c r="I180" s="61" t="n">
        <x:f>G180-H180</x:f>
        <x:v>5816400</x:v>
      </x:c>
      <x:c r="J180" s="61" t="n">
        <x:f>J179+I180</x:f>
        <x:v>452422620</x:v>
      </x:c>
      <x:c r="K180" s="50" t="str">
        <x:v>BH-20260531</x:v>
      </x:c>
    </x:row>
    <x:row r="181">
      <x:c r="A181" s="55" t="n">
        <x:v>46174</x:v>
      </x:c>
      <x:c r="B181" s="49" t="str">
        <x:v>PT-0124</x:v>
      </x:c>
      <x:c r="C181" s="49" t="str">
        <x:v>Thu</x:v>
      </x:c>
      <x:c r="D181" s="49" t="str">
        <x:v>Bán hàng</x:v>
      </x:c>
      <x:c r="E181" s="49" t="str">
        <x:v>Doanh thu bán hàng trong ngày - tiền mặt</x:v>
      </x:c>
      <x:c r="F181" s="49" t="str">
        <x:v>Tiền mặt</x:v>
      </x:c>
      <x:c r="G181" s="58" t="n">
        <x:v>2675000</x:v>
      </x:c>
      <x:c r="H181" s="58" t="n">
        <x:v>0</x:v>
      </x:c>
      <x:c r="I181" s="61" t="n">
        <x:f>G181-H181</x:f>
        <x:v>2675000</x:v>
      </x:c>
      <x:c r="J181" s="61" t="n">
        <x:f>J180+I181</x:f>
        <x:v>455097620</x:v>
      </x:c>
      <x:c r="K181" s="50" t="str">
        <x:v>BH-20260601</x:v>
      </x:c>
    </x:row>
    <x:row r="182">
      <x:c r="A182" s="55" t="n">
        <x:v>46174</x:v>
      </x:c>
      <x:c r="B182" s="49" t="str">
        <x:v>PT-0125</x:v>
      </x:c>
      <x:c r="C182" s="49" t="str">
        <x:v>Thu</x:v>
      </x:c>
      <x:c r="D182" s="49" t="str">
        <x:v>Bán hàng</x:v>
      </x:c>
      <x:c r="E182" s="49" t="str">
        <x:v>Doanh thu bán hàng trong ngày - QR/chuyển khoản</x:v>
      </x:c>
      <x:c r="F182" s="49" t="str">
        <x:v>Ngân hàng</x:v>
      </x:c>
      <x:c r="G182" s="58" t="n">
        <x:v>4590500</x:v>
      </x:c>
      <x:c r="H182" s="58" t="n">
        <x:v>0</x:v>
      </x:c>
      <x:c r="I182" s="61" t="n">
        <x:f>G182-H182</x:f>
        <x:v>4590500</x:v>
      </x:c>
      <x:c r="J182" s="61" t="n">
        <x:f>J181+I182</x:f>
        <x:v>459688120</x:v>
      </x:c>
      <x:c r="K182" s="50" t="str">
        <x:v>BH-20260601</x:v>
      </x:c>
    </x:row>
    <x:row r="183">
      <x:c r="A183" s="55" t="n">
        <x:v>46175</x:v>
      </x:c>
      <x:c r="B183" s="49" t="str">
        <x:v>PC-0237</x:v>
      </x:c>
      <x:c r="C183" s="49" t="str">
        <x:v>Chi</x:v>
      </x:c>
      <x:c r="D183" s="49" t="str">
        <x:v>Tiền thuê</x:v>
      </x:c>
      <x:c r="E183" s="49" t="str">
        <x:v>Tiền thuê mặt bằng tháng 06/2026</x:v>
      </x:c>
      <x:c r="F183" s="49" t="str">
        <x:v>Ngân hàng</x:v>
      </x:c>
      <x:c r="G183" s="58" t="n">
        <x:v>0</x:v>
      </x:c>
      <x:c r="H183" s="58" t="n">
        <x:v>70000000</x:v>
      </x:c>
      <x:c r="I183" s="61" t="n">
        <x:f>G183-H183</x:f>
        <x:v>-70000000</x:v>
      </x:c>
      <x:c r="J183" s="61" t="n">
        <x:f>J182+I183</x:f>
        <x:v>389688120</x:v>
      </x:c>
      <x:c r="K183" s="50" t="str">
        <x:v>CP-THUE-202606</x:v>
      </x:c>
    </x:row>
    <x:row r="184">
      <x:c r="A184" s="55" t="n">
        <x:v>46175</x:v>
      </x:c>
      <x:c r="B184" s="49" t="str">
        <x:v>PT-0126</x:v>
      </x:c>
      <x:c r="C184" s="49" t="str">
        <x:v>Thu</x:v>
      </x:c>
      <x:c r="D184" s="49" t="str">
        <x:v>Bán hàng</x:v>
      </x:c>
      <x:c r="E184" s="49" t="str">
        <x:v>Doanh thu bán hàng trong ngày - tiền mặt</x:v>
      </x:c>
      <x:c r="F184" s="49" t="str">
        <x:v>Tiền mặt</x:v>
      </x:c>
      <x:c r="G184" s="58" t="n">
        <x:v>2563000</x:v>
      </x:c>
      <x:c r="H184" s="58" t="n">
        <x:v>0</x:v>
      </x:c>
      <x:c r="I184" s="61" t="n">
        <x:f>G184-H184</x:f>
        <x:v>2563000</x:v>
      </x:c>
      <x:c r="J184" s="61" t="n">
        <x:f>J183+I184</x:f>
        <x:v>392251120</x:v>
      </x:c>
      <x:c r="K184" s="50" t="str">
        <x:v>BH-20260602</x:v>
      </x:c>
    </x:row>
    <x:row r="185">
      <x:c r="A185" s="55" t="n">
        <x:v>46175</x:v>
      </x:c>
      <x:c r="B185" s="49" t="str">
        <x:v>PT-0127</x:v>
      </x:c>
      <x:c r="C185" s="49" t="str">
        <x:v>Thu</x:v>
      </x:c>
      <x:c r="D185" s="49" t="str">
        <x:v>Bán hàng</x:v>
      </x:c>
      <x:c r="E185" s="49" t="str">
        <x:v>Doanh thu bán hàng trong ngày - QR/chuyển khoản</x:v>
      </x:c>
      <x:c r="F185" s="49" t="str">
        <x:v>Ngân hàng</x:v>
      </x:c>
      <x:c r="G185" s="58" t="n">
        <x:v>4259600</x:v>
      </x:c>
      <x:c r="H185" s="58" t="n">
        <x:v>0</x:v>
      </x:c>
      <x:c r="I185" s="61" t="n">
        <x:f>G185-H185</x:f>
        <x:v>4259600</x:v>
      </x:c>
      <x:c r="J185" s="61" t="n">
        <x:f>J184+I185</x:f>
        <x:v>396510720</x:v>
      </x:c>
      <x:c r="K185" s="50" t="str">
        <x:v>BH-20260602</x:v>
      </x:c>
    </x:row>
    <x:row r="186">
      <x:c r="A186" s="55" t="n">
        <x:v>46176</x:v>
      </x:c>
      <x:c r="B186" s="49" t="str">
        <x:v>PC-0238</x:v>
      </x:c>
      <x:c r="C186" s="49" t="str">
        <x:v>Chi</x:v>
      </x:c>
      <x:c r="D186" s="49" t="str">
        <x:v>Cà phê hạt</x:v>
      </x:c>
      <x:c r="E186" s="49" t="str">
        <x:v>Cà phê hạt rang</x:v>
      </x:c>
      <x:c r="F186" s="49" t="str">
        <x:v>Ngân hàng</x:v>
      </x:c>
      <x:c r="G186" s="58" t="n">
        <x:v>0</x:v>
      </x:c>
      <x:c r="H186" s="58" t="n">
        <x:v>7490880</x:v>
      </x:c>
      <x:c r="I186" s="61" t="n">
        <x:f>G186-H186</x:f>
        <x:v>-7490880</x:v>
      </x:c>
      <x:c r="J186" s="61" t="n">
        <x:f>J185+I186</x:f>
        <x:v>389019840</x:v>
      </x:c>
      <x:c r="K186" s="50" t="str">
        <x:v>HDMH-MAU-046</x:v>
      </x:c>
    </x:row>
    <x:row r="187">
      <x:c r="A187" s="55" t="n">
        <x:v>46176</x:v>
      </x:c>
      <x:c r="B187" s="49" t="str">
        <x:v>PC-0239</x:v>
      </x:c>
      <x:c r="C187" s="49" t="str">
        <x:v>Chi</x:v>
      </x:c>
      <x:c r="D187" s="49" t="str">
        <x:v>Sữa và nguyên liệu</x:v>
      </x:c>
      <x:c r="E187" s="49" t="str">
        <x:v>Sữa tươi và sữa đặc</x:v>
      </x:c>
      <x:c r="F187" s="49" t="str">
        <x:v>Tiền mặt</x:v>
      </x:c>
      <x:c r="G187" s="58" t="n">
        <x:v>0</x:v>
      </x:c>
      <x:c r="H187" s="58" t="n">
        <x:v>5991840</x:v>
      </x:c>
      <x:c r="I187" s="61" t="n">
        <x:f>G187-H187</x:f>
        <x:v>-5991840</x:v>
      </x:c>
      <x:c r="J187" s="61" t="n">
        <x:f>J186+I187</x:f>
        <x:v>383028000</x:v>
      </x:c>
      <x:c r="K187" s="50" t="str">
        <x:v>HDMH-MAU-047</x:v>
      </x:c>
    </x:row>
    <x:row r="188">
      <x:c r="A188" s="55" t="n">
        <x:v>46176</x:v>
      </x:c>
      <x:c r="B188" s="49" t="str">
        <x:v>PC-0240</x:v>
      </x:c>
      <x:c r="C188" s="49" t="str">
        <x:v>Chi</x:v>
      </x:c>
      <x:c r="D188" s="49" t="str">
        <x:v>Bao bì</x:v>
      </x:c>
      <x:c r="E188" s="49" t="str">
        <x:v>Cốc, nắp và túi mang đi</x:v>
      </x:c>
      <x:c r="F188" s="49" t="str">
        <x:v>Ngân hàng</x:v>
      </x:c>
      <x:c r="G188" s="58" t="n">
        <x:v>0</x:v>
      </x:c>
      <x:c r="H188" s="58" t="n">
        <x:v>3122280</x:v>
      </x:c>
      <x:c r="I188" s="61" t="n">
        <x:f>G188-H188</x:f>
        <x:v>-3122280</x:v>
      </x:c>
      <x:c r="J188" s="61" t="n">
        <x:f>J187+I188</x:f>
        <x:v>379905720</x:v>
      </x:c>
      <x:c r="K188" s="50" t="str">
        <x:v>HDMH-MAU-048</x:v>
      </x:c>
    </x:row>
    <x:row r="189">
      <x:c r="A189" s="55" t="n">
        <x:v>46176</x:v>
      </x:c>
      <x:c r="B189" s="49" t="str">
        <x:v>PC-0241</x:v>
      </x:c>
      <x:c r="C189" s="49" t="str">
        <x:v>Chi</x:v>
      </x:c>
      <x:c r="D189" s="49" t="str">
        <x:v>Bánh</x:v>
      </x:c>
      <x:c r="E189" s="49" t="str">
        <x:v>Bánh ngọt giao tuần</x:v>
      </x:c>
      <x:c r="F189" s="49" t="str">
        <x:v>Tiền mặt</x:v>
      </x:c>
      <x:c r="G189" s="58" t="n">
        <x:v>0</x:v>
      </x:c>
      <x:c r="H189" s="58" t="n">
        <x:v>5173200</x:v>
      </x:c>
      <x:c r="I189" s="61" t="n">
        <x:f>G189-H189</x:f>
        <x:v>-5173200</x:v>
      </x:c>
      <x:c r="J189" s="61" t="n">
        <x:f>J188+I189</x:f>
        <x:v>374732520</x:v>
      </x:c>
      <x:c r="K189" s="50" t="str">
        <x:v>HDMH-MAU-049</x:v>
      </x:c>
    </x:row>
    <x:row r="190">
      <x:c r="A190" s="55" t="n">
        <x:v>46176</x:v>
      </x:c>
      <x:c r="B190" s="49" t="str">
        <x:v>PC-0242</x:v>
      </x:c>
      <x:c r="C190" s="49" t="str">
        <x:v>Chi</x:v>
      </x:c>
      <x:c r="D190" s="49" t="str">
        <x:v>Marketing</x:v>
      </x:c>
      <x:c r="E190" s="49" t="str">
        <x:v>Quảng cáo mạng xã hội</x:v>
      </x:c>
      <x:c r="F190" s="49" t="str">
        <x:v>Ngân hàng</x:v>
      </x:c>
      <x:c r="G190" s="58" t="n">
        <x:v>0</x:v>
      </x:c>
      <x:c r="H190" s="58" t="n">
        <x:v>2458500</x:v>
      </x:c>
      <x:c r="I190" s="61" t="n">
        <x:f>G190-H190</x:f>
        <x:v>-2458500</x:v>
      </x:c>
      <x:c r="J190" s="61" t="n">
        <x:f>J189+I190</x:f>
        <x:v>372274020</x:v>
      </x:c>
      <x:c r="K190" s="50" t="str">
        <x:v>HDMH-MAU-050</x:v>
      </x:c>
    </x:row>
    <x:row r="191">
      <x:c r="A191" s="55" t="n">
        <x:v>46176</x:v>
      </x:c>
      <x:c r="B191" s="49" t="str">
        <x:v>PT-0128</x:v>
      </x:c>
      <x:c r="C191" s="49" t="str">
        <x:v>Thu</x:v>
      </x:c>
      <x:c r="D191" s="49" t="str">
        <x:v>Bán hàng</x:v>
      </x:c>
      <x:c r="E191" s="49" t="str">
        <x:v>Doanh thu bán hàng trong ngày - tiền mặt</x:v>
      </x:c>
      <x:c r="F191" s="49" t="str">
        <x:v>Tiền mặt</x:v>
      </x:c>
      <x:c r="G191" s="58" t="n">
        <x:v>1982000</x:v>
      </x:c>
      <x:c r="H191" s="58" t="n">
        <x:v>0</x:v>
      </x:c>
      <x:c r="I191" s="61" t="n">
        <x:f>G191-H191</x:f>
        <x:v>1982000</x:v>
      </x:c>
      <x:c r="J191" s="61" t="n">
        <x:f>J190+I191</x:f>
        <x:v>374256020</x:v>
      </x:c>
      <x:c r="K191" s="50" t="str">
        <x:v>BH-20260603</x:v>
      </x:c>
    </x:row>
    <x:row r="192">
      <x:c r="A192" s="55" t="n">
        <x:v>46176</x:v>
      </x:c>
      <x:c r="B192" s="49" t="str">
        <x:v>PT-0129</x:v>
      </x:c>
      <x:c r="C192" s="49" t="str">
        <x:v>Thu</x:v>
      </x:c>
      <x:c r="D192" s="49" t="str">
        <x:v>Bán hàng</x:v>
      </x:c>
      <x:c r="E192" s="49" t="str">
        <x:v>Doanh thu bán hàng trong ngày - QR/chuyển khoản</x:v>
      </x:c>
      <x:c r="F192" s="49" t="str">
        <x:v>Ngân hàng</x:v>
      </x:c>
      <x:c r="G192" s="58" t="n">
        <x:v>4545600</x:v>
      </x:c>
      <x:c r="H192" s="58" t="n">
        <x:v>0</x:v>
      </x:c>
      <x:c r="I192" s="61" t="n">
        <x:f>G192-H192</x:f>
        <x:v>4545600</x:v>
      </x:c>
      <x:c r="J192" s="61" t="n">
        <x:f>J191+I192</x:f>
        <x:v>378801620</x:v>
      </x:c>
      <x:c r="K192" s="50" t="str">
        <x:v>BH-20260603</x:v>
      </x:c>
    </x:row>
    <x:row r="193">
      <x:c r="A193" s="55" t="n">
        <x:v>46177</x:v>
      </x:c>
      <x:c r="B193" s="49" t="str">
        <x:v>PT-0130</x:v>
      </x:c>
      <x:c r="C193" s="49" t="str">
        <x:v>Thu</x:v>
      </x:c>
      <x:c r="D193" s="49" t="str">
        <x:v>Bán hàng</x:v>
      </x:c>
      <x:c r="E193" s="49" t="str">
        <x:v>Doanh thu bán hàng trong ngày - tiền mặt</x:v>
      </x:c>
      <x:c r="F193" s="49" t="str">
        <x:v>Tiền mặt</x:v>
      </x:c>
      <x:c r="G193" s="58" t="n">
        <x:v>2198000</x:v>
      </x:c>
      <x:c r="H193" s="58" t="n">
        <x:v>0</x:v>
      </x:c>
      <x:c r="I193" s="61" t="n">
        <x:f>G193-H193</x:f>
        <x:v>2198000</x:v>
      </x:c>
      <x:c r="J193" s="61" t="n">
        <x:f>J192+I193</x:f>
        <x:v>380999620</x:v>
      </x:c>
      <x:c r="K193" s="50" t="str">
        <x:v>BH-20260604</x:v>
      </x:c>
    </x:row>
    <x:row r="194">
      <x:c r="A194" s="55" t="n">
        <x:v>46177</x:v>
      </x:c>
      <x:c r="B194" s="49" t="str">
        <x:v>PT-0131</x:v>
      </x:c>
      <x:c r="C194" s="49" t="str">
        <x:v>Thu</x:v>
      </x:c>
      <x:c r="D194" s="49" t="str">
        <x:v>Bán hàng</x:v>
      </x:c>
      <x:c r="E194" s="49" t="str">
        <x:v>Doanh thu bán hàng trong ngày - QR/chuyển khoản</x:v>
      </x:c>
      <x:c r="F194" s="49" t="str">
        <x:v>Ngân hàng</x:v>
      </x:c>
      <x:c r="G194" s="58" t="n">
        <x:v>4819500</x:v>
      </x:c>
      <x:c r="H194" s="58" t="n">
        <x:v>0</x:v>
      </x:c>
      <x:c r="I194" s="61" t="n">
        <x:f>G194-H194</x:f>
        <x:v>4819500</x:v>
      </x:c>
      <x:c r="J194" s="61" t="n">
        <x:f>J193+I194</x:f>
        <x:v>385819120</x:v>
      </x:c>
      <x:c r="K194" s="50" t="str">
        <x:v>BH-20260604</x:v>
      </x:c>
    </x:row>
    <x:row r="195">
      <x:c r="A195" s="55" t="n">
        <x:v>46178</x:v>
      </x:c>
      <x:c r="B195" s="49" t="str">
        <x:v>PT-0132</x:v>
      </x:c>
      <x:c r="C195" s="49" t="str">
        <x:v>Thu</x:v>
      </x:c>
      <x:c r="D195" s="49" t="str">
        <x:v>Bán hàng</x:v>
      </x:c>
      <x:c r="E195" s="49" t="str">
        <x:v>Doanh thu bán hàng trong ngày - tiền mặt</x:v>
      </x:c>
      <x:c r="F195" s="49" t="str">
        <x:v>Tiền mặt</x:v>
      </x:c>
      <x:c r="G195" s="58" t="n">
        <x:v>2462000</x:v>
      </x:c>
      <x:c r="H195" s="58" t="n">
        <x:v>0</x:v>
      </x:c>
      <x:c r="I195" s="61" t="n">
        <x:f>G195-H195</x:f>
        <x:v>2462000</x:v>
      </x:c>
      <x:c r="J195" s="61" t="n">
        <x:f>J194+I195</x:f>
        <x:v>388281120</x:v>
      </x:c>
      <x:c r="K195" s="50" t="str">
        <x:v>BH-20260605</x:v>
      </x:c>
    </x:row>
    <x:row r="196">
      <x:c r="A196" s="55" t="n">
        <x:v>46178</x:v>
      </x:c>
      <x:c r="B196" s="49" t="str">
        <x:v>PT-0133</x:v>
      </x:c>
      <x:c r="C196" s="49" t="str">
        <x:v>Thu</x:v>
      </x:c>
      <x:c r="D196" s="49" t="str">
        <x:v>Bán hàng</x:v>
      </x:c>
      <x:c r="E196" s="49" t="str">
        <x:v>Doanh thu bán hàng trong ngày - QR/chuyển khoản</x:v>
      </x:c>
      <x:c r="F196" s="49" t="str">
        <x:v>Ngân hàng</x:v>
      </x:c>
      <x:c r="G196" s="58" t="n">
        <x:v>4394400</x:v>
      </x:c>
      <x:c r="H196" s="58" t="n">
        <x:v>0</x:v>
      </x:c>
      <x:c r="I196" s="61" t="n">
        <x:f>G196-H196</x:f>
        <x:v>4394400</x:v>
      </x:c>
      <x:c r="J196" s="61" t="n">
        <x:f>J195+I196</x:f>
        <x:v>392675520</x:v>
      </x:c>
      <x:c r="K196" s="50" t="str">
        <x:v>BH-20260605</x:v>
      </x:c>
    </x:row>
    <x:row r="197">
      <x:c r="A197" s="55" t="n">
        <x:v>46179</x:v>
      </x:c>
      <x:c r="B197" s="49" t="str">
        <x:v>PT-0134</x:v>
      </x:c>
      <x:c r="C197" s="49" t="str">
        <x:v>Thu</x:v>
      </x:c>
      <x:c r="D197" s="49" t="str">
        <x:v>Bán hàng</x:v>
      </x:c>
      <x:c r="E197" s="49" t="str">
        <x:v>Doanh thu bán hàng trong ngày - tiền mặt</x:v>
      </x:c>
      <x:c r="F197" s="49" t="str">
        <x:v>Tiền mặt</x:v>
      </x:c>
      <x:c r="G197" s="58" t="n">
        <x:v>3249000</x:v>
      </x:c>
      <x:c r="H197" s="58" t="n">
        <x:v>0</x:v>
      </x:c>
      <x:c r="I197" s="61" t="n">
        <x:f>G197-H197</x:f>
        <x:v>3249000</x:v>
      </x:c>
      <x:c r="J197" s="61" t="n">
        <x:f>J196+I197</x:f>
        <x:v>395924520</x:v>
      </x:c>
      <x:c r="K197" s="50" t="str">
        <x:v>BH-20260606</x:v>
      </x:c>
    </x:row>
    <x:row r="198">
      <x:c r="A198" s="55" t="n">
        <x:v>46179</x:v>
      </x:c>
      <x:c r="B198" s="49" t="str">
        <x:v>PT-0135</x:v>
      </x:c>
      <x:c r="C198" s="49" t="str">
        <x:v>Thu</x:v>
      </x:c>
      <x:c r="D198" s="49" t="str">
        <x:v>Bán hàng</x:v>
      </x:c>
      <x:c r="E198" s="49" t="str">
        <x:v>Doanh thu bán hàng trong ngày - QR/chuyển khoản</x:v>
      </x:c>
      <x:c r="F198" s="49" t="str">
        <x:v>Ngân hàng</x:v>
      </x:c>
      <x:c r="G198" s="58" t="n">
        <x:v>5531900</x:v>
      </x:c>
      <x:c r="H198" s="58" t="n">
        <x:v>0</x:v>
      </x:c>
      <x:c r="I198" s="61" t="n">
        <x:f>G198-H198</x:f>
        <x:v>5531900</x:v>
      </x:c>
      <x:c r="J198" s="61" t="n">
        <x:f>J197+I198</x:f>
        <x:v>401456420</x:v>
      </x:c>
      <x:c r="K198" s="50" t="str">
        <x:v>BH-20260606</x:v>
      </x:c>
    </x:row>
    <x:row r="199">
      <x:c r="A199" s="55" t="n">
        <x:v>46180</x:v>
      </x:c>
      <x:c r="B199" s="49" t="str">
        <x:v>PT-0136</x:v>
      </x:c>
      <x:c r="C199" s="49" t="str">
        <x:v>Thu</x:v>
      </x:c>
      <x:c r="D199" s="49" t="str">
        <x:v>Bán hàng</x:v>
      </x:c>
      <x:c r="E199" s="49" t="str">
        <x:v>Doanh thu bán hàng trong ngày - tiền mặt</x:v>
      </x:c>
      <x:c r="F199" s="49" t="str">
        <x:v>Tiền mặt</x:v>
      </x:c>
      <x:c r="G199" s="58" t="n">
        <x:v>2804000</x:v>
      </x:c>
      <x:c r="H199" s="58" t="n">
        <x:v>0</x:v>
      </x:c>
      <x:c r="I199" s="61" t="n">
        <x:f>G199-H199</x:f>
        <x:v>2804000</x:v>
      </x:c>
      <x:c r="J199" s="61" t="n">
        <x:f>J198+I199</x:f>
        <x:v>404260420</x:v>
      </x:c>
      <x:c r="K199" s="50" t="str">
        <x:v>BH-20260607</x:v>
      </x:c>
    </x:row>
    <x:row r="200">
      <x:c r="A200" s="55" t="n">
        <x:v>46180</x:v>
      </x:c>
      <x:c r="B200" s="49" t="str">
        <x:v>PT-0137</x:v>
      </x:c>
      <x:c r="C200" s="49" t="str">
        <x:v>Thu</x:v>
      </x:c>
      <x:c r="D200" s="49" t="str">
        <x:v>Bán hàng</x:v>
      </x:c>
      <x:c r="E200" s="49" t="str">
        <x:v>Doanh thu bán hàng trong ngày - QR/chuyển khoản</x:v>
      </x:c>
      <x:c r="F200" s="49" t="str">
        <x:v>Ngân hàng</x:v>
      </x:c>
      <x:c r="G200" s="58" t="n">
        <x:v>6345600</x:v>
      </x:c>
      <x:c r="H200" s="58" t="n">
        <x:v>0</x:v>
      </x:c>
      <x:c r="I200" s="61" t="n">
        <x:f>G200-H200</x:f>
        <x:v>6345600</x:v>
      </x:c>
      <x:c r="J200" s="61" t="n">
        <x:f>J199+I200</x:f>
        <x:v>410606020</x:v>
      </x:c>
      <x:c r="K200" s="50" t="str">
        <x:v>BH-20260607</x:v>
      </x:c>
    </x:row>
    <x:row r="201">
      <x:c r="A201" s="55" t="n">
        <x:v>46181</x:v>
      </x:c>
      <x:c r="B201" s="49" t="str">
        <x:v>PT-0138</x:v>
      </x:c>
      <x:c r="C201" s="49" t="str">
        <x:v>Thu</x:v>
      </x:c>
      <x:c r="D201" s="49" t="str">
        <x:v>Bán hàng</x:v>
      </x:c>
      <x:c r="E201" s="49" t="str">
        <x:v>Doanh thu bán hàng trong ngày - tiền mặt</x:v>
      </x:c>
      <x:c r="F201" s="49" t="str">
        <x:v>Tiền mặt</x:v>
      </x:c>
      <x:c r="G201" s="58" t="n">
        <x:v>2497000</x:v>
      </x:c>
      <x:c r="H201" s="58" t="n">
        <x:v>0</x:v>
      </x:c>
      <x:c r="I201" s="61" t="n">
        <x:f>G201-H201</x:f>
        <x:v>2497000</x:v>
      </x:c>
      <x:c r="J201" s="61" t="n">
        <x:f>J200+I201</x:f>
        <x:v>413103020</x:v>
      </x:c>
      <x:c r="K201" s="50" t="str">
        <x:v>BH-20260608</x:v>
      </x:c>
    </x:row>
    <x:row r="202">
      <x:c r="A202" s="55" t="n">
        <x:v>46181</x:v>
      </x:c>
      <x:c r="B202" s="49" t="str">
        <x:v>PT-0139</x:v>
      </x:c>
      <x:c r="C202" s="49" t="str">
        <x:v>Thu</x:v>
      </x:c>
      <x:c r="D202" s="49" t="str">
        <x:v>Bán hàng</x:v>
      </x:c>
      <x:c r="E202" s="49" t="str">
        <x:v>Doanh thu bán hàng trong ngày - QR/chuyển khoản</x:v>
      </x:c>
      <x:c r="F202" s="49" t="str">
        <x:v>Ngân hàng</x:v>
      </x:c>
      <x:c r="G202" s="58" t="n">
        <x:v>4639600</x:v>
      </x:c>
      <x:c r="H202" s="58" t="n">
        <x:v>0</x:v>
      </x:c>
      <x:c r="I202" s="61" t="n">
        <x:f>G202-H202</x:f>
        <x:v>4639600</x:v>
      </x:c>
      <x:c r="J202" s="61" t="n">
        <x:f>J201+I202</x:f>
        <x:v>417742620</x:v>
      </x:c>
      <x:c r="K202" s="50" t="str">
        <x:v>BH-20260608</x:v>
      </x:c>
    </x:row>
    <x:row r="203">
      <x:c r="A203" s="55" t="n">
        <x:v>46182</x:v>
      </x:c>
      <x:c r="B203" s="49" t="str">
        <x:v>PT-0140</x:v>
      </x:c>
      <x:c r="C203" s="49" t="str">
        <x:v>Thu</x:v>
      </x:c>
      <x:c r="D203" s="49" t="str">
        <x:v>Bán hàng</x:v>
      </x:c>
      <x:c r="E203" s="49" t="str">
        <x:v>Doanh thu bán hàng trong ngày - tiền mặt</x:v>
      </x:c>
      <x:c r="F203" s="49" t="str">
        <x:v>Tiền mặt</x:v>
      </x:c>
      <x:c r="G203" s="58" t="n">
        <x:v>2000000</x:v>
      </x:c>
      <x:c r="H203" s="58" t="n">
        <x:v>0</x:v>
      </x:c>
      <x:c r="I203" s="61" t="n">
        <x:f>G203-H203</x:f>
        <x:v>2000000</x:v>
      </x:c>
      <x:c r="J203" s="61" t="n">
        <x:f>J202+I203</x:f>
        <x:v>419742620</x:v>
      </x:c>
      <x:c r="K203" s="50" t="str">
        <x:v>BH-20260609</x:v>
      </x:c>
    </x:row>
    <x:row r="204">
      <x:c r="A204" s="55" t="n">
        <x:v>46182</x:v>
      </x:c>
      <x:c r="B204" s="49" t="str">
        <x:v>PT-0141</x:v>
      </x:c>
      <x:c r="C204" s="49" t="str">
        <x:v>Thu</x:v>
      </x:c>
      <x:c r="D204" s="49" t="str">
        <x:v>Bán hàng</x:v>
      </x:c>
      <x:c r="E204" s="49" t="str">
        <x:v>Doanh thu bán hàng trong ngày - QR/chuyển khoản</x:v>
      </x:c>
      <x:c r="F204" s="49" t="str">
        <x:v>Ngân hàng</x:v>
      </x:c>
      <x:c r="G204" s="58" t="n">
        <x:v>4574650</x:v>
      </x:c>
      <x:c r="H204" s="58" t="n">
        <x:v>0</x:v>
      </x:c>
      <x:c r="I204" s="61" t="n">
        <x:f>G204-H204</x:f>
        <x:v>4574650</x:v>
      </x:c>
      <x:c r="J204" s="61" t="n">
        <x:f>J203+I204</x:f>
        <x:v>424317270</x:v>
      </x:c>
      <x:c r="K204" s="50" t="str">
        <x:v>BH-20260609</x:v>
      </x:c>
    </x:row>
    <x:row r="205">
      <x:c r="A205" s="55" t="n">
        <x:v>46183</x:v>
      </x:c>
      <x:c r="B205" s="49" t="str">
        <x:v>PC-0243</x:v>
      </x:c>
      <x:c r="C205" s="49" t="str">
        <x:v>Chi</x:v>
      </x:c>
      <x:c r="D205" s="49" t="str">
        <x:v>Tiền lương</x:v>
      </x:c>
      <x:c r="E205" s="49" t="str">
        <x:v>Lương và phụ cấp tháng 06/2026</x:v>
      </x:c>
      <x:c r="F205" s="49" t="str">
        <x:v>Ngân hàng</x:v>
      </x:c>
      <x:c r="G205" s="58" t="n">
        <x:v>0</x:v>
      </x:c>
      <x:c r="H205" s="58" t="n">
        <x:v>62000000</x:v>
      </x:c>
      <x:c r="I205" s="61" t="n">
        <x:f>G205-H205</x:f>
        <x:v>-62000000</x:v>
      </x:c>
      <x:c r="J205" s="61" t="n">
        <x:f>J204+I205</x:f>
        <x:v>362317270</x:v>
      </x:c>
      <x:c r="K205" s="50" t="str">
        <x:v>CP-LUONG-202606</x:v>
      </x:c>
    </x:row>
    <x:row r="206">
      <x:c r="A206" s="55" t="n">
        <x:v>46183</x:v>
      </x:c>
      <x:c r="B206" s="49" t="str">
        <x:v>PC-0244</x:v>
      </x:c>
      <x:c r="C206" s="49" t="str">
        <x:v>Chi</x:v>
      </x:c>
      <x:c r="D206" s="49" t="str">
        <x:v>Cà phê hạt</x:v>
      </x:c>
      <x:c r="E206" s="49" t="str">
        <x:v>Cà phê hạt rang</x:v>
      </x:c>
      <x:c r="F206" s="49" t="str">
        <x:v>Ngân hàng</x:v>
      </x:c>
      <x:c r="G206" s="58" t="n">
        <x:v>0</x:v>
      </x:c>
      <x:c r="H206" s="58" t="n">
        <x:v>7104240</x:v>
      </x:c>
      <x:c r="I206" s="61" t="n">
        <x:f>G206-H206</x:f>
        <x:v>-7104240</x:v>
      </x:c>
      <x:c r="J206" s="61" t="n">
        <x:f>J205+I206</x:f>
        <x:v>355213030</x:v>
      </x:c>
      <x:c r="K206" s="50" t="str">
        <x:v>HDMH-MAU-051</x:v>
      </x:c>
    </x:row>
    <x:row r="207">
      <x:c r="A207" s="55" t="n">
        <x:v>46183</x:v>
      </x:c>
      <x:c r="B207" s="49" t="str">
        <x:v>PC-0245</x:v>
      </x:c>
      <x:c r="C207" s="49" t="str">
        <x:v>Chi</x:v>
      </x:c>
      <x:c r="D207" s="49" t="str">
        <x:v>Sữa và nguyên liệu</x:v>
      </x:c>
      <x:c r="E207" s="49" t="str">
        <x:v>Sữa tươi và sữa đặc</x:v>
      </x:c>
      <x:c r="F207" s="49" t="str">
        <x:v>Tiền mặt</x:v>
      </x:c>
      <x:c r="G207" s="58" t="n">
        <x:v>0</x:v>
      </x:c>
      <x:c r="H207" s="58" t="n">
        <x:v>5954040</x:v>
      </x:c>
      <x:c r="I207" s="61" t="n">
        <x:f>G207-H207</x:f>
        <x:v>-5954040</x:v>
      </x:c>
      <x:c r="J207" s="61" t="n">
        <x:f>J206+I207</x:f>
        <x:v>349258990</x:v>
      </x:c>
      <x:c r="K207" s="50" t="str">
        <x:v>HDMH-MAU-052</x:v>
      </x:c>
    </x:row>
    <x:row r="208">
      <x:c r="A208" s="55" t="n">
        <x:v>46183</x:v>
      </x:c>
      <x:c r="B208" s="49" t="str">
        <x:v>PC-0246</x:v>
      </x:c>
      <x:c r="C208" s="49" t="str">
        <x:v>Chi</x:v>
      </x:c>
      <x:c r="D208" s="49" t="str">
        <x:v>Bao bì</x:v>
      </x:c>
      <x:c r="E208" s="49" t="str">
        <x:v>Cốc, nắp và túi mang đi</x:v>
      </x:c>
      <x:c r="F208" s="49" t="str">
        <x:v>Ngân hàng</x:v>
      </x:c>
      <x:c r="G208" s="58" t="n">
        <x:v>0</x:v>
      </x:c>
      <x:c r="H208" s="58" t="n">
        <x:v>3139560</x:v>
      </x:c>
      <x:c r="I208" s="61" t="n">
        <x:f>G208-H208</x:f>
        <x:v>-3139560</x:v>
      </x:c>
      <x:c r="J208" s="61" t="n">
        <x:f>J207+I208</x:f>
        <x:v>346119430</x:v>
      </x:c>
      <x:c r="K208" s="50" t="str">
        <x:v>HDMH-MAU-053</x:v>
      </x:c>
    </x:row>
    <x:row r="209">
      <x:c r="A209" s="55" t="n">
        <x:v>46183</x:v>
      </x:c>
      <x:c r="B209" s="49" t="str">
        <x:v>PC-0247</x:v>
      </x:c>
      <x:c r="C209" s="49" t="str">
        <x:v>Chi</x:v>
      </x:c>
      <x:c r="D209" s="49" t="str">
        <x:v>Bánh</x:v>
      </x:c>
      <x:c r="E209" s="49" t="str">
        <x:v>Bánh ngọt giao tuần</x:v>
      </x:c>
      <x:c r="F209" s="49" t="str">
        <x:v>Tiền mặt</x:v>
      </x:c>
      <x:c r="G209" s="58" t="n">
        <x:v>0</x:v>
      </x:c>
      <x:c r="H209" s="58" t="n">
        <x:v>5166720</x:v>
      </x:c>
      <x:c r="I209" s="61" t="n">
        <x:f>G209-H209</x:f>
        <x:v>-5166720</x:v>
      </x:c>
      <x:c r="J209" s="61" t="n">
        <x:f>J208+I209</x:f>
        <x:v>340952710</x:v>
      </x:c>
      <x:c r="K209" s="50" t="str">
        <x:v>HDMH-MAU-054</x:v>
      </x:c>
    </x:row>
    <x:row r="210">
      <x:c r="A210" s="55" t="n">
        <x:v>46183</x:v>
      </x:c>
      <x:c r="B210" s="49" t="str">
        <x:v>PC-0248</x:v>
      </x:c>
      <x:c r="C210" s="49" t="str">
        <x:v>Chi</x:v>
      </x:c>
      <x:c r="D210" s="49" t="str">
        <x:v>Marketing</x:v>
      </x:c>
      <x:c r="E210" s="49" t="str">
        <x:v>Quảng cáo mạng xã hội</x:v>
      </x:c>
      <x:c r="F210" s="49" t="str">
        <x:v>Ngân hàng</x:v>
      </x:c>
      <x:c r="G210" s="58" t="n">
        <x:v>0</x:v>
      </x:c>
      <x:c r="H210" s="58" t="n">
        <x:v>2471700</x:v>
      </x:c>
      <x:c r="I210" s="61" t="n">
        <x:f>G210-H210</x:f>
        <x:v>-2471700</x:v>
      </x:c>
      <x:c r="J210" s="61" t="n">
        <x:f>J209+I210</x:f>
        <x:v>338481010</x:v>
      </x:c>
      <x:c r="K210" s="50" t="str">
        <x:v>HDMH-MAU-055</x:v>
      </x:c>
    </x:row>
    <x:row r="211">
      <x:c r="A211" s="55" t="n">
        <x:v>46183</x:v>
      </x:c>
      <x:c r="B211" s="49" t="str">
        <x:v>PT-0142</x:v>
      </x:c>
      <x:c r="C211" s="49" t="str">
        <x:v>Thu</x:v>
      </x:c>
      <x:c r="D211" s="49" t="str">
        <x:v>Bán hàng</x:v>
      </x:c>
      <x:c r="E211" s="49" t="str">
        <x:v>Doanh thu bán hàng trong ngày - tiền mặt</x:v>
      </x:c>
      <x:c r="F211" s="49" t="str">
        <x:v>Tiền mặt</x:v>
      </x:c>
      <x:c r="G211" s="58" t="n">
        <x:v>2532000</x:v>
      </x:c>
      <x:c r="H211" s="58" t="n">
        <x:v>0</x:v>
      </x:c>
      <x:c r="I211" s="61" t="n">
        <x:f>G211-H211</x:f>
        <x:v>2532000</x:v>
      </x:c>
      <x:c r="J211" s="61" t="n">
        <x:f>J210+I211</x:f>
        <x:v>341013010</x:v>
      </x:c>
      <x:c r="K211" s="50" t="str">
        <x:v>BH-20260610</x:v>
      </x:c>
    </x:row>
    <x:row r="212">
      <x:c r="A212" s="55" t="n">
        <x:v>46183</x:v>
      </x:c>
      <x:c r="B212" s="49" t="str">
        <x:v>PT-0143</x:v>
      </x:c>
      <x:c r="C212" s="49" t="str">
        <x:v>Thu</x:v>
      </x:c>
      <x:c r="D212" s="49" t="str">
        <x:v>Bán hàng</x:v>
      </x:c>
      <x:c r="E212" s="49" t="str">
        <x:v>Doanh thu bán hàng trong ngày - QR/chuyển khoản</x:v>
      </x:c>
      <x:c r="F212" s="49" t="str">
        <x:v>Ngân hàng</x:v>
      </x:c>
      <x:c r="G212" s="58" t="n">
        <x:v>4555300</x:v>
      </x:c>
      <x:c r="H212" s="58" t="n">
        <x:v>0</x:v>
      </x:c>
      <x:c r="I212" s="61" t="n">
        <x:f>G212-H212</x:f>
        <x:v>4555300</x:v>
      </x:c>
      <x:c r="J212" s="61" t="n">
        <x:f>J211+I212</x:f>
        <x:v>345568310</x:v>
      </x:c>
      <x:c r="K212" s="50" t="str">
        <x:v>BH-20260610</x:v>
      </x:c>
    </x:row>
    <x:row r="213">
      <x:c r="A213" s="55" t="n">
        <x:v>46184</x:v>
      </x:c>
      <x:c r="B213" s="49" t="str">
        <x:v>PT-0144</x:v>
      </x:c>
      <x:c r="C213" s="49" t="str">
        <x:v>Thu</x:v>
      </x:c>
      <x:c r="D213" s="49" t="str">
        <x:v>Bán hàng</x:v>
      </x:c>
      <x:c r="E213" s="49" t="str">
        <x:v>Doanh thu bán hàng trong ngày - tiền mặt</x:v>
      </x:c>
      <x:c r="F213" s="49" t="str">
        <x:v>Tiền mặt</x:v>
      </x:c>
      <x:c r="G213" s="58" t="n">
        <x:v>2145000</x:v>
      </x:c>
      <x:c r="H213" s="58" t="n">
        <x:v>0</x:v>
      </x:c>
      <x:c r="I213" s="61" t="n">
        <x:f>G213-H213</x:f>
        <x:v>2145000</x:v>
      </x:c>
      <x:c r="J213" s="61" t="n">
        <x:f>J212+I213</x:f>
        <x:v>347713310</x:v>
      </x:c>
      <x:c r="K213" s="50" t="str">
        <x:v>BH-20260611</x:v>
      </x:c>
    </x:row>
    <x:row r="214">
      <x:c r="A214" s="55" t="n">
        <x:v>46184</x:v>
      </x:c>
      <x:c r="B214" s="49" t="str">
        <x:v>PT-0145</x:v>
      </x:c>
      <x:c r="C214" s="49" t="str">
        <x:v>Thu</x:v>
      </x:c>
      <x:c r="D214" s="49" t="str">
        <x:v>Bán hàng</x:v>
      </x:c>
      <x:c r="E214" s="49" t="str">
        <x:v>Doanh thu bán hàng trong ngày - QR/chuyển khoản</x:v>
      </x:c>
      <x:c r="F214" s="49" t="str">
        <x:v>Ngân hàng</x:v>
      </x:c>
      <x:c r="G214" s="58" t="n">
        <x:v>4953000</x:v>
      </x:c>
      <x:c r="H214" s="58" t="n">
        <x:v>0</x:v>
      </x:c>
      <x:c r="I214" s="61" t="n">
        <x:f>G214-H214</x:f>
        <x:v>4953000</x:v>
      </x:c>
      <x:c r="J214" s="61" t="n">
        <x:f>J213+I214</x:f>
        <x:v>352666310</x:v>
      </x:c>
      <x:c r="K214" s="50" t="str">
        <x:v>BH-20260611</x:v>
      </x:c>
    </x:row>
    <x:row r="215">
      <x:c r="A215" s="55" t="n">
        <x:v>46185</x:v>
      </x:c>
      <x:c r="B215" s="49" t="str">
        <x:v>PT-0146</x:v>
      </x:c>
      <x:c r="C215" s="49" t="str">
        <x:v>Thu</x:v>
      </x:c>
      <x:c r="D215" s="49" t="str">
        <x:v>Bán hàng</x:v>
      </x:c>
      <x:c r="E215" s="49" t="str">
        <x:v>Doanh thu bán hàng trong ngày - tiền mặt</x:v>
      </x:c>
      <x:c r="F215" s="49" t="str">
        <x:v>Tiền mặt</x:v>
      </x:c>
      <x:c r="G215" s="58" t="n">
        <x:v>2379000</x:v>
      </x:c>
      <x:c r="H215" s="58" t="n">
        <x:v>0</x:v>
      </x:c>
      <x:c r="I215" s="61" t="n">
        <x:f>G215-H215</x:f>
        <x:v>2379000</x:v>
      </x:c>
      <x:c r="J215" s="61" t="n">
        <x:f>J214+I215</x:f>
        <x:v>355045310</x:v>
      </x:c>
      <x:c r="K215" s="50" t="str">
        <x:v>BH-20260612</x:v>
      </x:c>
    </x:row>
    <x:row r="216">
      <x:c r="A216" s="55" t="n">
        <x:v>46185</x:v>
      </x:c>
      <x:c r="B216" s="49" t="str">
        <x:v>PT-0147</x:v>
      </x:c>
      <x:c r="C216" s="49" t="str">
        <x:v>Thu</x:v>
      </x:c>
      <x:c r="D216" s="49" t="str">
        <x:v>Bán hàng</x:v>
      </x:c>
      <x:c r="E216" s="49" t="str">
        <x:v>Doanh thu bán hàng trong ngày - QR/chuyển khoản</x:v>
      </x:c>
      <x:c r="F216" s="49" t="str">
        <x:v>Ngân hàng</x:v>
      </x:c>
      <x:c r="G216" s="58" t="n">
        <x:v>4798000</x:v>
      </x:c>
      <x:c r="H216" s="58" t="n">
        <x:v>0</x:v>
      </x:c>
      <x:c r="I216" s="61" t="n">
        <x:f>G216-H216</x:f>
        <x:v>4798000</x:v>
      </x:c>
      <x:c r="J216" s="61" t="n">
        <x:f>J215+I216</x:f>
        <x:v>359843310</x:v>
      </x:c>
      <x:c r="K216" s="50" t="str">
        <x:v>BH-20260612</x:v>
      </x:c>
    </x:row>
    <x:row r="217">
      <x:c r="A217" s="55" t="n">
        <x:v>46186</x:v>
      </x:c>
      <x:c r="B217" s="49" t="str">
        <x:v>PT-0148</x:v>
      </x:c>
      <x:c r="C217" s="49" t="str">
        <x:v>Thu</x:v>
      </x:c>
      <x:c r="D217" s="49" t="str">
        <x:v>Bán hàng</x:v>
      </x:c>
      <x:c r="E217" s="49" t="str">
        <x:v>Doanh thu bán hàng trong ngày - tiền mặt</x:v>
      </x:c>
      <x:c r="F217" s="49" t="str">
        <x:v>Tiền mặt</x:v>
      </x:c>
      <x:c r="G217" s="58" t="n">
        <x:v>2898000</x:v>
      </x:c>
      <x:c r="H217" s="58" t="n">
        <x:v>0</x:v>
      </x:c>
      <x:c r="I217" s="61" t="n">
        <x:f>G217-H217</x:f>
        <x:v>2898000</x:v>
      </x:c>
      <x:c r="J217" s="61" t="n">
        <x:f>J216+I217</x:f>
        <x:v>362741310</x:v>
      </x:c>
      <x:c r="K217" s="50" t="str">
        <x:v>BH-20260613</x:v>
      </x:c>
    </x:row>
    <x:row r="218">
      <x:c r="A218" s="55" t="n">
        <x:v>46186</x:v>
      </x:c>
      <x:c r="B218" s="49" t="str">
        <x:v>PT-0149</x:v>
      </x:c>
      <x:c r="C218" s="49" t="str">
        <x:v>Thu</x:v>
      </x:c>
      <x:c r="D218" s="49" t="str">
        <x:v>Bán hàng</x:v>
      </x:c>
      <x:c r="E218" s="49" t="str">
        <x:v>Doanh thu bán hàng trong ngày - QR/chuyển khoản</x:v>
      </x:c>
      <x:c r="F218" s="49" t="str">
        <x:v>Ngân hàng</x:v>
      </x:c>
      <x:c r="G218" s="58" t="n">
        <x:v>6195400</x:v>
      </x:c>
      <x:c r="H218" s="58" t="n">
        <x:v>0</x:v>
      </x:c>
      <x:c r="I218" s="61" t="n">
        <x:f>G218-H218</x:f>
        <x:v>6195400</x:v>
      </x:c>
      <x:c r="J218" s="61" t="n">
        <x:f>J217+I218</x:f>
        <x:v>368936710</x:v>
      </x:c>
      <x:c r="K218" s="50" t="str">
        <x:v>BH-20260613</x:v>
      </x:c>
    </x:row>
    <x:row r="219">
      <x:c r="A219" s="55" t="n">
        <x:v>46187</x:v>
      </x:c>
      <x:c r="B219" s="49" t="str">
        <x:v>PT-0150</x:v>
      </x:c>
      <x:c r="C219" s="49" t="str">
        <x:v>Thu</x:v>
      </x:c>
      <x:c r="D219" s="49" t="str">
        <x:v>Bán hàng</x:v>
      </x:c>
      <x:c r="E219" s="49" t="str">
        <x:v>Doanh thu bán hàng trong ngày - tiền mặt</x:v>
      </x:c>
      <x:c r="F219" s="49" t="str">
        <x:v>Tiền mặt</x:v>
      </x:c>
      <x:c r="G219" s="58" t="n">
        <x:v>3346000</x:v>
      </x:c>
      <x:c r="H219" s="58" t="n">
        <x:v>0</x:v>
      </x:c>
      <x:c r="I219" s="61" t="n">
        <x:f>G219-H219</x:f>
        <x:v>3346000</x:v>
      </x:c>
      <x:c r="J219" s="61" t="n">
        <x:f>J218+I219</x:f>
        <x:v>372282710</x:v>
      </x:c>
      <x:c r="K219" s="50" t="str">
        <x:v>BH-20260614</x:v>
      </x:c>
    </x:row>
    <x:row r="220">
      <x:c r="A220" s="55" t="n">
        <x:v>46187</x:v>
      </x:c>
      <x:c r="B220" s="49" t="str">
        <x:v>PT-0151</x:v>
      </x:c>
      <x:c r="C220" s="49" t="str">
        <x:v>Thu</x:v>
      </x:c>
      <x:c r="D220" s="49" t="str">
        <x:v>Bán hàng</x:v>
      </x:c>
      <x:c r="E220" s="49" t="str">
        <x:v>Doanh thu bán hàng trong ngày - QR/chuyển khoản</x:v>
      </x:c>
      <x:c r="F220" s="49" t="str">
        <x:v>Ngân hàng</x:v>
      </x:c>
      <x:c r="G220" s="58" t="n">
        <x:v>5892900</x:v>
      </x:c>
      <x:c r="H220" s="58" t="n">
        <x:v>0</x:v>
      </x:c>
      <x:c r="I220" s="61" t="n">
        <x:f>G220-H220</x:f>
        <x:v>5892900</x:v>
      </x:c>
      <x:c r="J220" s="61" t="n">
        <x:f>J219+I220</x:f>
        <x:v>378175610</x:v>
      </x:c>
      <x:c r="K220" s="50" t="str">
        <x:v>BH-20260614</x:v>
      </x:c>
    </x:row>
    <x:row r="221">
      <x:c r="A221" s="55" t="n">
        <x:v>46188</x:v>
      </x:c>
      <x:c r="B221" s="49" t="str">
        <x:v>PC-0249</x:v>
      </x:c>
      <x:c r="C221" s="49" t="str">
        <x:v>Chi</x:v>
      </x:c>
      <x:c r="D221" s="49" t="str">
        <x:v>Điện nước</x:v>
      </x:c>
      <x:c r="E221" s="49" t="str">
        <x:v>Điện, nước, internet tháng 06/2026</x:v>
      </x:c>
      <x:c r="F221" s="49" t="str">
        <x:v>Ngân hàng</x:v>
      </x:c>
      <x:c r="G221" s="58" t="n">
        <x:v>0</x:v>
      </x:c>
      <x:c r="H221" s="58" t="n">
        <x:v>13663100</x:v>
      </x:c>
      <x:c r="I221" s="61" t="n">
        <x:f>G221-H221</x:f>
        <x:v>-13663100</x:v>
      </x:c>
      <x:c r="J221" s="61" t="n">
        <x:f>J220+I221</x:f>
        <x:v>364512510</x:v>
      </x:c>
      <x:c r="K221" s="50" t="str">
        <x:v>CP-DIENNUOC-202606</x:v>
      </x:c>
    </x:row>
    <x:row r="222">
      <x:c r="A222" s="55" t="n">
        <x:v>46188</x:v>
      </x:c>
      <x:c r="B222" s="49" t="str">
        <x:v>PT-0152</x:v>
      </x:c>
      <x:c r="C222" s="49" t="str">
        <x:v>Thu</x:v>
      </x:c>
      <x:c r="D222" s="49" t="str">
        <x:v>Bán hàng</x:v>
      </x:c>
      <x:c r="E222" s="49" t="str">
        <x:v>Doanh thu bán hàng trong ngày - tiền mặt</x:v>
      </x:c>
      <x:c r="F222" s="49" t="str">
        <x:v>Tiền mặt</x:v>
      </x:c>
      <x:c r="G222" s="58" t="n">
        <x:v>2171000</x:v>
      </x:c>
      <x:c r="H222" s="58" t="n">
        <x:v>0</x:v>
      </x:c>
      <x:c r="I222" s="61" t="n">
        <x:f>G222-H222</x:f>
        <x:v>2171000</x:v>
      </x:c>
      <x:c r="J222" s="61" t="n">
        <x:f>J221+I222</x:f>
        <x:v>366683510</x:v>
      </x:c>
      <x:c r="K222" s="50" t="str">
        <x:v>BH-20260615</x:v>
      </x:c>
    </x:row>
    <x:row r="223">
      <x:c r="A223" s="55" t="n">
        <x:v>46188</x:v>
      </x:c>
      <x:c r="B223" s="49" t="str">
        <x:v>PT-0153</x:v>
      </x:c>
      <x:c r="C223" s="49" t="str">
        <x:v>Thu</x:v>
      </x:c>
      <x:c r="D223" s="49" t="str">
        <x:v>Bán hàng</x:v>
      </x:c>
      <x:c r="E223" s="49" t="str">
        <x:v>Doanh thu bán hàng trong ngày - QR/chuyển khoản</x:v>
      </x:c>
      <x:c r="F223" s="49" t="str">
        <x:v>Ngân hàng</x:v>
      </x:c>
      <x:c r="G223" s="58" t="n">
        <x:v>4907700</x:v>
      </x:c>
      <x:c r="H223" s="58" t="n">
        <x:v>0</x:v>
      </x:c>
      <x:c r="I223" s="61" t="n">
        <x:f>G223-H223</x:f>
        <x:v>4907700</x:v>
      </x:c>
      <x:c r="J223" s="61" t="n">
        <x:f>J222+I223</x:f>
        <x:v>371591210</x:v>
      </x:c>
      <x:c r="K223" s="50" t="str">
        <x:v>BH-20260615</x:v>
      </x:c>
    </x:row>
    <x:row r="224">
      <x:c r="A224" s="55" t="n">
        <x:v>46189</x:v>
      </x:c>
      <x:c r="B224" s="49" t="str">
        <x:v>PT-0154</x:v>
      </x:c>
      <x:c r="C224" s="49" t="str">
        <x:v>Thu</x:v>
      </x:c>
      <x:c r="D224" s="49" t="str">
        <x:v>Bán hàng</x:v>
      </x:c>
      <x:c r="E224" s="49" t="str">
        <x:v>Doanh thu bán hàng trong ngày - tiền mặt</x:v>
      </x:c>
      <x:c r="F224" s="49" t="str">
        <x:v>Tiền mặt</x:v>
      </x:c>
      <x:c r="G224" s="58" t="n">
        <x:v>2689000</x:v>
      </x:c>
      <x:c r="H224" s="58" t="n">
        <x:v>0</x:v>
      </x:c>
      <x:c r="I224" s="61" t="n">
        <x:f>G224-H224</x:f>
        <x:v>2689000</x:v>
      </x:c>
      <x:c r="J224" s="61" t="n">
        <x:f>J223+I224</x:f>
        <x:v>374280210</x:v>
      </x:c>
      <x:c r="K224" s="50" t="str">
        <x:v>BH-20260616</x:v>
      </x:c>
    </x:row>
    <x:row r="225">
      <x:c r="A225" s="55" t="n">
        <x:v>46189</x:v>
      </x:c>
      <x:c r="B225" s="49" t="str">
        <x:v>PT-0155</x:v>
      </x:c>
      <x:c r="C225" s="49" t="str">
        <x:v>Thu</x:v>
      </x:c>
      <x:c r="D225" s="49" t="str">
        <x:v>Bán hàng</x:v>
      </x:c>
      <x:c r="E225" s="49" t="str">
        <x:v>Doanh thu bán hàng trong ngày - QR/chuyển khoản</x:v>
      </x:c>
      <x:c r="F225" s="49" t="str">
        <x:v>Ngân hàng</x:v>
      </x:c>
      <x:c r="G225" s="58" t="n">
        <x:v>4798600</x:v>
      </x:c>
      <x:c r="H225" s="58" t="n">
        <x:v>0</x:v>
      </x:c>
      <x:c r="I225" s="61" t="n">
        <x:f>G225-H225</x:f>
        <x:v>4798600</x:v>
      </x:c>
      <x:c r="J225" s="61" t="n">
        <x:f>J224+I225</x:f>
        <x:v>379078810</x:v>
      </x:c>
      <x:c r="K225" s="50" t="str">
        <x:v>BH-20260616</x:v>
      </x:c>
    </x:row>
    <x:row r="226">
      <x:c r="A226" s="55" t="n">
        <x:v>46190</x:v>
      </x:c>
      <x:c r="B226" s="49" t="str">
        <x:v>PC-0250</x:v>
      </x:c>
      <x:c r="C226" s="49" t="str">
        <x:v>Chi</x:v>
      </x:c>
      <x:c r="D226" s="49" t="str">
        <x:v>Cà phê hạt</x:v>
      </x:c>
      <x:c r="E226" s="49" t="str">
        <x:v>Cà phê hạt rang</x:v>
      </x:c>
      <x:c r="F226" s="49" t="str">
        <x:v>Ngân hàng</x:v>
      </x:c>
      <x:c r="G226" s="58" t="n">
        <x:v>0</x:v>
      </x:c>
      <x:c r="H226" s="58" t="n">
        <x:v>6819120</x:v>
      </x:c>
      <x:c r="I226" s="61" t="n">
        <x:f>G226-H226</x:f>
        <x:v>-6819120</x:v>
      </x:c>
      <x:c r="J226" s="61" t="n">
        <x:f>J225+I226</x:f>
        <x:v>372259690</x:v>
      </x:c>
      <x:c r="K226" s="50" t="str">
        <x:v>HDMH-MAU-056</x:v>
      </x:c>
    </x:row>
    <x:row r="227">
      <x:c r="A227" s="55" t="n">
        <x:v>46190</x:v>
      </x:c>
      <x:c r="B227" s="49" t="str">
        <x:v>PC-0251</x:v>
      </x:c>
      <x:c r="C227" s="49" t="str">
        <x:v>Chi</x:v>
      </x:c>
      <x:c r="D227" s="49" t="str">
        <x:v>Sữa và nguyên liệu</x:v>
      </x:c>
      <x:c r="E227" s="49" t="str">
        <x:v>Sữa tươi và sữa đặc</x:v>
      </x:c>
      <x:c r="F227" s="49" t="str">
        <x:v>Tiền mặt</x:v>
      </x:c>
      <x:c r="G227" s="58" t="n">
        <x:v>0</x:v>
      </x:c>
      <x:c r="H227" s="58" t="n">
        <x:v>5985360</x:v>
      </x:c>
      <x:c r="I227" s="61" t="n">
        <x:f>G227-H227</x:f>
        <x:v>-5985360</x:v>
      </x:c>
      <x:c r="J227" s="61" t="n">
        <x:f>J226+I227</x:f>
        <x:v>366274330</x:v>
      </x:c>
      <x:c r="K227" s="50" t="str">
        <x:v>HDMH-MAU-057</x:v>
      </x:c>
    </x:row>
    <x:row r="228">
      <x:c r="A228" s="55" t="n">
        <x:v>46190</x:v>
      </x:c>
      <x:c r="B228" s="49" t="str">
        <x:v>PC-0252</x:v>
      </x:c>
      <x:c r="C228" s="49" t="str">
        <x:v>Chi</x:v>
      </x:c>
      <x:c r="D228" s="49" t="str">
        <x:v>Bao bì</x:v>
      </x:c>
      <x:c r="E228" s="49" t="str">
        <x:v>Cốc, nắp và túi mang đi</x:v>
      </x:c>
      <x:c r="F228" s="49" t="str">
        <x:v>Ngân hàng</x:v>
      </x:c>
      <x:c r="G228" s="58" t="n">
        <x:v>0</x:v>
      </x:c>
      <x:c r="H228" s="58" t="n">
        <x:v>3221640</x:v>
      </x:c>
      <x:c r="I228" s="61" t="n">
        <x:f>G228-H228</x:f>
        <x:v>-3221640</x:v>
      </x:c>
      <x:c r="J228" s="61" t="n">
        <x:f>J227+I228</x:f>
        <x:v>363052690</x:v>
      </x:c>
      <x:c r="K228" s="50" t="str">
        <x:v>HDMH-MAU-058</x:v>
      </x:c>
    </x:row>
    <x:row r="229">
      <x:c r="A229" s="55" t="n">
        <x:v>46190</x:v>
      </x:c>
      <x:c r="B229" s="49" t="str">
        <x:v>PC-0253</x:v>
      </x:c>
      <x:c r="C229" s="49" t="str">
        <x:v>Chi</x:v>
      </x:c>
      <x:c r="D229" s="49" t="str">
        <x:v>Bánh</x:v>
      </x:c>
      <x:c r="E229" s="49" t="str">
        <x:v>Bánh ngọt giao tuần</x:v>
      </x:c>
      <x:c r="F229" s="49" t="str">
        <x:v>Tiền mặt</x:v>
      </x:c>
      <x:c r="G229" s="58" t="n">
        <x:v>0</x:v>
      </x:c>
      <x:c r="H229" s="58" t="n">
        <x:v>5241240</x:v>
      </x:c>
      <x:c r="I229" s="61" t="n">
        <x:f>G229-H229</x:f>
        <x:v>-5241240</x:v>
      </x:c>
      <x:c r="J229" s="61" t="n">
        <x:f>J228+I229</x:f>
        <x:v>357811450</x:v>
      </x:c>
      <x:c r="K229" s="50" t="str">
        <x:v>HDMH-MAU-059</x:v>
      </x:c>
    </x:row>
    <x:row r="230">
      <x:c r="A230" s="55" t="n">
        <x:v>46190</x:v>
      </x:c>
      <x:c r="B230" s="49" t="str">
        <x:v>PC-0254</x:v>
      </x:c>
      <x:c r="C230" s="49" t="str">
        <x:v>Chi</x:v>
      </x:c>
      <x:c r="D230" s="49" t="str">
        <x:v>Marketing</x:v>
      </x:c>
      <x:c r="E230" s="49" t="str">
        <x:v>Quảng cáo mạng xã hội</x:v>
      </x:c>
      <x:c r="F230" s="49" t="str">
        <x:v>Ngân hàng</x:v>
      </x:c>
      <x:c r="G230" s="58" t="n">
        <x:v>0</x:v>
      </x:c>
      <x:c r="H230" s="58" t="n">
        <x:v>2363900</x:v>
      </x:c>
      <x:c r="I230" s="61" t="n">
        <x:f>G230-H230</x:f>
        <x:v>-2363900</x:v>
      </x:c>
      <x:c r="J230" s="61" t="n">
        <x:f>J229+I230</x:f>
        <x:v>355447550</x:v>
      </x:c>
      <x:c r="K230" s="50" t="str">
        <x:v>HDMH-MAU-060</x:v>
      </x:c>
    </x:row>
    <x:row r="231">
      <x:c r="A231" s="55" t="n">
        <x:v>46190</x:v>
      </x:c>
      <x:c r="B231" s="49" t="str">
        <x:v>PT-0156</x:v>
      </x:c>
      <x:c r="C231" s="49" t="str">
        <x:v>Thu</x:v>
      </x:c>
      <x:c r="D231" s="49" t="str">
        <x:v>Bán hàng</x:v>
      </x:c>
      <x:c r="E231" s="49" t="str">
        <x:v>Doanh thu bán hàng trong ngày - tiền mặt</x:v>
      </x:c>
      <x:c r="F231" s="49" t="str">
        <x:v>Tiền mặt</x:v>
      </x:c>
      <x:c r="G231" s="58" t="n">
        <x:v>2695000</x:v>
      </x:c>
      <x:c r="H231" s="58" t="n">
        <x:v>0</x:v>
      </x:c>
      <x:c r="I231" s="61" t="n">
        <x:f>G231-H231</x:f>
        <x:v>2695000</x:v>
      </x:c>
      <x:c r="J231" s="61" t="n">
        <x:f>J230+I231</x:f>
        <x:v>358142550</x:v>
      </x:c>
      <x:c r="K231" s="50" t="str">
        <x:v>BH-20260617</x:v>
      </x:c>
    </x:row>
    <x:row r="232">
      <x:c r="A232" s="55" t="n">
        <x:v>46190</x:v>
      </x:c>
      <x:c r="B232" s="49" t="str">
        <x:v>PT-0157</x:v>
      </x:c>
      <x:c r="C232" s="49" t="str">
        <x:v>Thu</x:v>
      </x:c>
      <x:c r="D232" s="49" t="str">
        <x:v>Bán hàng</x:v>
      </x:c>
      <x:c r="E232" s="49" t="str">
        <x:v>Doanh thu bán hàng trong ngày - QR/chuyển khoản</x:v>
      </x:c>
      <x:c r="F232" s="49" t="str">
        <x:v>Ngân hàng</x:v>
      </x:c>
      <x:c r="G232" s="58" t="n">
        <x:v>4519900</x:v>
      </x:c>
      <x:c r="H232" s="58" t="n">
        <x:v>0</x:v>
      </x:c>
      <x:c r="I232" s="61" t="n">
        <x:f>G232-H232</x:f>
        <x:v>4519900</x:v>
      </x:c>
      <x:c r="J232" s="61" t="n">
        <x:f>J231+I232</x:f>
        <x:v>362662450</x:v>
      </x:c>
      <x:c r="K232" s="50" t="str">
        <x:v>BH-20260617</x:v>
      </x:c>
    </x:row>
    <x:row r="233">
      <x:c r="A233" s="55" t="n">
        <x:v>46191</x:v>
      </x:c>
      <x:c r="B233" s="49" t="str">
        <x:v>PT-0158</x:v>
      </x:c>
      <x:c r="C233" s="49" t="str">
        <x:v>Thu</x:v>
      </x:c>
      <x:c r="D233" s="49" t="str">
        <x:v>Bán hàng</x:v>
      </x:c>
      <x:c r="E233" s="49" t="str">
        <x:v>Doanh thu bán hàng trong ngày - tiền mặt</x:v>
      </x:c>
      <x:c r="F233" s="49" t="str">
        <x:v>Tiền mặt</x:v>
      </x:c>
      <x:c r="G233" s="58" t="n">
        <x:v>2350000</x:v>
      </x:c>
      <x:c r="H233" s="58" t="n">
        <x:v>0</x:v>
      </x:c>
      <x:c r="I233" s="61" t="n">
        <x:f>G233-H233</x:f>
        <x:v>2350000</x:v>
      </x:c>
      <x:c r="J233" s="61" t="n">
        <x:f>J232+I233</x:f>
        <x:v>365012450</x:v>
      </x:c>
      <x:c r="K233" s="50" t="str">
        <x:v>BH-20260618</x:v>
      </x:c>
    </x:row>
    <x:row r="234">
      <x:c r="A234" s="55" t="n">
        <x:v>46191</x:v>
      </x:c>
      <x:c r="B234" s="49" t="str">
        <x:v>PT-0159</x:v>
      </x:c>
      <x:c r="C234" s="49" t="str">
        <x:v>Thu</x:v>
      </x:c>
      <x:c r="D234" s="49" t="str">
        <x:v>Bán hàng</x:v>
      </x:c>
      <x:c r="E234" s="49" t="str">
        <x:v>Doanh thu bán hàng trong ngày - QR/chuyển khoản</x:v>
      </x:c>
      <x:c r="F234" s="49" t="str">
        <x:v>Ngân hàng</x:v>
      </x:c>
      <x:c r="G234" s="58" t="n">
        <x:v>4786750</x:v>
      </x:c>
      <x:c r="H234" s="58" t="n">
        <x:v>0</x:v>
      </x:c>
      <x:c r="I234" s="61" t="n">
        <x:f>G234-H234</x:f>
        <x:v>4786750</x:v>
      </x:c>
      <x:c r="J234" s="61" t="n">
        <x:f>J233+I234</x:f>
        <x:v>369799200</x:v>
      </x:c>
      <x:c r="K234" s="50" t="str">
        <x:v>BH-20260618</x:v>
      </x:c>
    </x:row>
    <x:row r="235">
      <x:c r="A235" s="55" t="n">
        <x:v>46192</x:v>
      </x:c>
      <x:c r="B235" s="49" t="str">
        <x:v>PT-0160</x:v>
      </x:c>
      <x:c r="C235" s="49" t="str">
        <x:v>Thu</x:v>
      </x:c>
      <x:c r="D235" s="49" t="str">
        <x:v>Bán hàng</x:v>
      </x:c>
      <x:c r="E235" s="49" t="str">
        <x:v>Doanh thu bán hàng trong ngày - tiền mặt</x:v>
      </x:c>
      <x:c r="F235" s="49" t="str">
        <x:v>Tiền mặt</x:v>
      </x:c>
      <x:c r="G235" s="58" t="n">
        <x:v>2542000</x:v>
      </x:c>
      <x:c r="H235" s="58" t="n">
        <x:v>0</x:v>
      </x:c>
      <x:c r="I235" s="61" t="n">
        <x:f>G235-H235</x:f>
        <x:v>2542000</x:v>
      </x:c>
      <x:c r="J235" s="61" t="n">
        <x:f>J234+I235</x:f>
        <x:v>372341200</x:v>
      </x:c>
      <x:c r="K235" s="50" t="str">
        <x:v>BH-20260619</x:v>
      </x:c>
    </x:row>
    <x:row r="236">
      <x:c r="A236" s="55" t="n">
        <x:v>46192</x:v>
      </x:c>
      <x:c r="B236" s="49" t="str">
        <x:v>PT-0161</x:v>
      </x:c>
      <x:c r="C236" s="49" t="str">
        <x:v>Thu</x:v>
      </x:c>
      <x:c r="D236" s="49" t="str">
        <x:v>Bán hàng</x:v>
      </x:c>
      <x:c r="E236" s="49" t="str">
        <x:v>Doanh thu bán hàng trong ngày - QR/chuyển khoản</x:v>
      </x:c>
      <x:c r="F236" s="49" t="str">
        <x:v>Ngân hàng</x:v>
      </x:c>
      <x:c r="G236" s="58" t="n">
        <x:v>4726100</x:v>
      </x:c>
      <x:c r="H236" s="58" t="n">
        <x:v>0</x:v>
      </x:c>
      <x:c r="I236" s="61" t="n">
        <x:f>G236-H236</x:f>
        <x:v>4726100</x:v>
      </x:c>
      <x:c r="J236" s="61" t="n">
        <x:f>J235+I236</x:f>
        <x:v>377067300</x:v>
      </x:c>
      <x:c r="K236" s="50" t="str">
        <x:v>BH-20260619</x:v>
      </x:c>
    </x:row>
    <x:row r="237">
      <x:c r="A237" s="55" t="n">
        <x:v>46193</x:v>
      </x:c>
      <x:c r="B237" s="49" t="str">
        <x:v>PC-0255</x:v>
      </x:c>
      <x:c r="C237" s="49" t="str">
        <x:v>Chi</x:v>
      </x:c>
      <x:c r="D237" s="49" t="str">
        <x:v>Phần mềm</x:v>
      </x:c>
      <x:c r="E237" s="49" t="str">
        <x:v>POS và phần mềm tháng 06/2026</x:v>
      </x:c>
      <x:c r="F237" s="49" t="str">
        <x:v>Ngân hàng</x:v>
      </x:c>
      <x:c r="G237" s="58" t="n">
        <x:v>0</x:v>
      </x:c>
      <x:c r="H237" s="58" t="n">
        <x:v>1980000</x:v>
      </x:c>
      <x:c r="I237" s="61" t="n">
        <x:f>G237-H237</x:f>
        <x:v>-1980000</x:v>
      </x:c>
      <x:c r="J237" s="61" t="n">
        <x:f>J236+I237</x:f>
        <x:v>375087300</x:v>
      </x:c>
      <x:c r="K237" s="50" t="str">
        <x:v>CP-PHANMEM-202606</x:v>
      </x:c>
    </x:row>
    <x:row r="238">
      <x:c r="A238" s="55" t="n">
        <x:v>46193</x:v>
      </x:c>
      <x:c r="B238" s="49" t="str">
        <x:v>PT-0162</x:v>
      </x:c>
      <x:c r="C238" s="49" t="str">
        <x:v>Thu</x:v>
      </x:c>
      <x:c r="D238" s="49" t="str">
        <x:v>Bán hàng</x:v>
      </x:c>
      <x:c r="E238" s="49" t="str">
        <x:v>Doanh thu bán hàng trong ngày - tiền mặt</x:v>
      </x:c>
      <x:c r="F238" s="49" t="str">
        <x:v>Tiền mặt</x:v>
      </x:c>
      <x:c r="G238" s="58" t="n">
        <x:v>2770000</x:v>
      </x:c>
      <x:c r="H238" s="58" t="n">
        <x:v>0</x:v>
      </x:c>
      <x:c r="I238" s="61" t="n">
        <x:f>G238-H238</x:f>
        <x:v>2770000</x:v>
      </x:c>
      <x:c r="J238" s="61" t="n">
        <x:f>J237+I238</x:f>
        <x:v>377857300</x:v>
      </x:c>
      <x:c r="K238" s="50" t="str">
        <x:v>BH-20260620</x:v>
      </x:c>
    </x:row>
    <x:row r="239">
      <x:c r="A239" s="55" t="n">
        <x:v>46193</x:v>
      </x:c>
      <x:c r="B239" s="49" t="str">
        <x:v>PT-0163</x:v>
      </x:c>
      <x:c r="C239" s="49" t="str">
        <x:v>Thu</x:v>
      </x:c>
      <x:c r="D239" s="49" t="str">
        <x:v>Bán hàng</x:v>
      </x:c>
      <x:c r="E239" s="49" t="str">
        <x:v>Doanh thu bán hàng trong ngày - QR/chuyển khoản</x:v>
      </x:c>
      <x:c r="F239" s="49" t="str">
        <x:v>Ngân hàng</x:v>
      </x:c>
      <x:c r="G239" s="58" t="n">
        <x:v>6161700</x:v>
      </x:c>
      <x:c r="H239" s="58" t="n">
        <x:v>0</x:v>
      </x:c>
      <x:c r="I239" s="61" t="n">
        <x:f>G239-H239</x:f>
        <x:v>6161700</x:v>
      </x:c>
      <x:c r="J239" s="61" t="n">
        <x:f>J238+I239</x:f>
        <x:v>384019000</x:v>
      </x:c>
      <x:c r="K239" s="50" t="str">
        <x:v>BH-20260620</x:v>
      </x:c>
    </x:row>
    <x:row r="240">
      <x:c r="A240" s="55" t="n">
        <x:v>46194</x:v>
      </x:c>
      <x:c r="B240" s="49" t="str">
        <x:v>PT-0164</x:v>
      </x:c>
      <x:c r="C240" s="49" t="str">
        <x:v>Thu</x:v>
      </x:c>
      <x:c r="D240" s="49" t="str">
        <x:v>Bán hàng</x:v>
      </x:c>
      <x:c r="E240" s="49" t="str">
        <x:v>Doanh thu bán hàng trong ngày - tiền mặt</x:v>
      </x:c>
      <x:c r="F240" s="49" t="str">
        <x:v>Tiền mặt</x:v>
      </x:c>
      <x:c r="G240" s="58" t="n">
        <x:v>3172000</x:v>
      </x:c>
      <x:c r="H240" s="58" t="n">
        <x:v>0</x:v>
      </x:c>
      <x:c r="I240" s="61" t="n">
        <x:f>G240-H240</x:f>
        <x:v>3172000</x:v>
      </x:c>
      <x:c r="J240" s="61" t="n">
        <x:f>J239+I240</x:f>
        <x:v>387191000</x:v>
      </x:c>
      <x:c r="K240" s="50" t="str">
        <x:v>BH-20260621</x:v>
      </x:c>
    </x:row>
    <x:row r="241">
      <x:c r="A241" s="55" t="n">
        <x:v>46194</x:v>
      </x:c>
      <x:c r="B241" s="49" t="str">
        <x:v>PT-0165</x:v>
      </x:c>
      <x:c r="C241" s="49" t="str">
        <x:v>Thu</x:v>
      </x:c>
      <x:c r="D241" s="49" t="str">
        <x:v>Bán hàng</x:v>
      </x:c>
      <x:c r="E241" s="49" t="str">
        <x:v>Doanh thu bán hàng trong ngày - QR/chuyển khoản</x:v>
      </x:c>
      <x:c r="F241" s="49" t="str">
        <x:v>Ngân hàng</x:v>
      </x:c>
      <x:c r="G241" s="58" t="n">
        <x:v>6361400</x:v>
      </x:c>
      <x:c r="H241" s="58" t="n">
        <x:v>0</x:v>
      </x:c>
      <x:c r="I241" s="61" t="n">
        <x:f>G241-H241</x:f>
        <x:v>6361400</x:v>
      </x:c>
      <x:c r="J241" s="61" t="n">
        <x:f>J240+I241</x:f>
        <x:v>393552400</x:v>
      </x:c>
      <x:c r="K241" s="50" t="str">
        <x:v>BH-20260621</x:v>
      </x:c>
    </x:row>
    <x:row r="242">
      <x:c r="A242" s="55" t="n">
        <x:v>46195</x:v>
      </x:c>
      <x:c r="B242" s="49" t="str">
        <x:v>PT-0166</x:v>
      </x:c>
      <x:c r="C242" s="49" t="str">
        <x:v>Thu</x:v>
      </x:c>
      <x:c r="D242" s="49" t="str">
        <x:v>Bán hàng</x:v>
      </x:c>
      <x:c r="E242" s="49" t="str">
        <x:v>Doanh thu bán hàng trong ngày - tiền mặt</x:v>
      </x:c>
      <x:c r="F242" s="49" t="str">
        <x:v>Tiền mặt</x:v>
      </x:c>
      <x:c r="G242" s="58" t="n">
        <x:v>2301000</x:v>
      </x:c>
      <x:c r="H242" s="58" t="n">
        <x:v>0</x:v>
      </x:c>
      <x:c r="I242" s="61" t="n">
        <x:f>G242-H242</x:f>
        <x:v>2301000</x:v>
      </x:c>
      <x:c r="J242" s="61" t="n">
        <x:f>J241+I242</x:f>
        <x:v>395853400</x:v>
      </x:c>
      <x:c r="K242" s="50" t="str">
        <x:v>BH-20260622</x:v>
      </x:c>
    </x:row>
    <x:row r="243">
      <x:c r="A243" s="55" t="n">
        <x:v>46195</x:v>
      </x:c>
      <x:c r="B243" s="49" t="str">
        <x:v>PT-0167</x:v>
      </x:c>
      <x:c r="C243" s="49" t="str">
        <x:v>Thu</x:v>
      </x:c>
      <x:c r="D243" s="49" t="str">
        <x:v>Bán hàng</x:v>
      </x:c>
      <x:c r="E243" s="49" t="str">
        <x:v>Doanh thu bán hàng trong ngày - QR/chuyển khoản</x:v>
      </x:c>
      <x:c r="F243" s="49" t="str">
        <x:v>Ngân hàng</x:v>
      </x:c>
      <x:c r="G243" s="58" t="n">
        <x:v>4682350</x:v>
      </x:c>
      <x:c r="H243" s="58" t="n">
        <x:v>0</x:v>
      </x:c>
      <x:c r="I243" s="61" t="n">
        <x:f>G243-H243</x:f>
        <x:v>4682350</x:v>
      </x:c>
      <x:c r="J243" s="61" t="n">
        <x:f>J242+I243</x:f>
        <x:v>400535750</x:v>
      </x:c>
      <x:c r="K243" s="50" t="str">
        <x:v>BH-20260622</x:v>
      </x:c>
    </x:row>
    <x:row r="244">
      <x:c r="A244" s="55" t="n">
        <x:v>46196</x:v>
      </x:c>
      <x:c r="B244" s="49" t="str">
        <x:v>PT-0168</x:v>
      </x:c>
      <x:c r="C244" s="49" t="str">
        <x:v>Thu</x:v>
      </x:c>
      <x:c r="D244" s="49" t="str">
        <x:v>Bán hàng</x:v>
      </x:c>
      <x:c r="E244" s="49" t="str">
        <x:v>Doanh thu bán hàng trong ngày - tiền mặt</x:v>
      </x:c>
      <x:c r="F244" s="49" t="str">
        <x:v>Tiền mặt</x:v>
      </x:c>
      <x:c r="G244" s="58" t="n">
        <x:v>2851000</x:v>
      </x:c>
      <x:c r="H244" s="58" t="n">
        <x:v>0</x:v>
      </x:c>
      <x:c r="I244" s="61" t="n">
        <x:f>G244-H244</x:f>
        <x:v>2851000</x:v>
      </x:c>
      <x:c r="J244" s="61" t="n">
        <x:f>J243+I244</x:f>
        <x:v>403386750</x:v>
      </x:c>
      <x:c r="K244" s="50" t="str">
        <x:v>BH-20260623</x:v>
      </x:c>
    </x:row>
    <x:row r="245">
      <x:c r="A245" s="55" t="n">
        <x:v>46196</x:v>
      </x:c>
      <x:c r="B245" s="49" t="str">
        <x:v>PT-0169</x:v>
      </x:c>
      <x:c r="C245" s="49" t="str">
        <x:v>Thu</x:v>
      </x:c>
      <x:c r="D245" s="49" t="str">
        <x:v>Bán hàng</x:v>
      </x:c>
      <x:c r="E245" s="49" t="str">
        <x:v>Doanh thu bán hàng trong ngày - QR/chuyển khoản</x:v>
      </x:c>
      <x:c r="F245" s="49" t="str">
        <x:v>Ngân hàng</x:v>
      </x:c>
      <x:c r="G245" s="58" t="n">
        <x:v>4688550</x:v>
      </x:c>
      <x:c r="H245" s="58" t="n">
        <x:v>0</x:v>
      </x:c>
      <x:c r="I245" s="61" t="n">
        <x:f>G245-H245</x:f>
        <x:v>4688550</x:v>
      </x:c>
      <x:c r="J245" s="61" t="n">
        <x:f>J244+I245</x:f>
        <x:v>408075300</x:v>
      </x:c>
      <x:c r="K245" s="50" t="str">
        <x:v>BH-20260623</x:v>
      </x:c>
    </x:row>
    <x:row r="246">
      <x:c r="A246" s="55" t="n">
        <x:v>46197</x:v>
      </x:c>
      <x:c r="B246" s="49" t="str">
        <x:v>PC-0256</x:v>
      </x:c>
      <x:c r="C246" s="49" t="str">
        <x:v>Chi</x:v>
      </x:c>
      <x:c r="D246" s="49" t="str">
        <x:v>Cà phê hạt</x:v>
      </x:c>
      <x:c r="E246" s="49" t="str">
        <x:v>Cà phê hạt rang</x:v>
      </x:c>
      <x:c r="F246" s="49" t="str">
        <x:v>Ngân hàng</x:v>
      </x:c>
      <x:c r="G246" s="58" t="n">
        <x:v>0</x:v>
      </x:c>
      <x:c r="H246" s="58" t="n">
        <x:v>6771600</x:v>
      </x:c>
      <x:c r="I246" s="61" t="n">
        <x:f>G246-H246</x:f>
        <x:v>-6771600</x:v>
      </x:c>
      <x:c r="J246" s="61" t="n">
        <x:f>J245+I246</x:f>
        <x:v>401303700</x:v>
      </x:c>
      <x:c r="K246" s="50" t="str">
        <x:v>HDMH-MAU-061</x:v>
      </x:c>
    </x:row>
    <x:row r="247">
      <x:c r="A247" s="55" t="n">
        <x:v>46197</x:v>
      </x:c>
      <x:c r="B247" s="49" t="str">
        <x:v>PC-0257</x:v>
      </x:c>
      <x:c r="C247" s="49" t="str">
        <x:v>Chi</x:v>
      </x:c>
      <x:c r="D247" s="49" t="str">
        <x:v>Sữa và nguyên liệu</x:v>
      </x:c>
      <x:c r="E247" s="49" t="str">
        <x:v>Sữa tươi và sữa đặc</x:v>
      </x:c>
      <x:c r="F247" s="49" t="str">
        <x:v>Tiền mặt</x:v>
      </x:c>
      <x:c r="G247" s="58" t="n">
        <x:v>0</x:v>
      </x:c>
      <x:c r="H247" s="58" t="n">
        <x:v>6068520</x:v>
      </x:c>
      <x:c r="I247" s="61" t="n">
        <x:f>G247-H247</x:f>
        <x:v>-6068520</x:v>
      </x:c>
      <x:c r="J247" s="61" t="n">
        <x:f>J246+I247</x:f>
        <x:v>395235180</x:v>
      </x:c>
      <x:c r="K247" s="50" t="str">
        <x:v>HDMH-MAU-062</x:v>
      </x:c>
    </x:row>
    <x:row r="248">
      <x:c r="A248" s="55" t="n">
        <x:v>46197</x:v>
      </x:c>
      <x:c r="B248" s="49" t="str">
        <x:v>PC-0258</x:v>
      </x:c>
      <x:c r="C248" s="49" t="str">
        <x:v>Chi</x:v>
      </x:c>
      <x:c r="D248" s="49" t="str">
        <x:v>Bao bì</x:v>
      </x:c>
      <x:c r="E248" s="49" t="str">
        <x:v>Cốc, nắp và túi mang đi</x:v>
      </x:c>
      <x:c r="F248" s="49" t="str">
        <x:v>Ngân hàng</x:v>
      </x:c>
      <x:c r="G248" s="58" t="n">
        <x:v>0</x:v>
      </x:c>
      <x:c r="H248" s="58" t="n">
        <x:v>3170880</x:v>
      </x:c>
      <x:c r="I248" s="61" t="n">
        <x:f>G248-H248</x:f>
        <x:v>-3170880</x:v>
      </x:c>
      <x:c r="J248" s="61" t="n">
        <x:f>J247+I248</x:f>
        <x:v>392064300</x:v>
      </x:c>
      <x:c r="K248" s="50" t="str">
        <x:v>HDMH-MAU-063</x:v>
      </x:c>
    </x:row>
    <x:row r="249">
      <x:c r="A249" s="55" t="n">
        <x:v>46197</x:v>
      </x:c>
      <x:c r="B249" s="49" t="str">
        <x:v>PC-0259</x:v>
      </x:c>
      <x:c r="C249" s="49" t="str">
        <x:v>Chi</x:v>
      </x:c>
      <x:c r="D249" s="49" t="str">
        <x:v>Bánh</x:v>
      </x:c>
      <x:c r="E249" s="49" t="str">
        <x:v>Bánh ngọt giao tuần</x:v>
      </x:c>
      <x:c r="F249" s="49" t="str">
        <x:v>Tiền mặt</x:v>
      </x:c>
      <x:c r="G249" s="58" t="n">
        <x:v>0</x:v>
      </x:c>
      <x:c r="H249" s="58" t="n">
        <x:v>5144040</x:v>
      </x:c>
      <x:c r="I249" s="61" t="n">
        <x:f>G249-H249</x:f>
        <x:v>-5144040</x:v>
      </x:c>
      <x:c r="J249" s="61" t="n">
        <x:f>J248+I249</x:f>
        <x:v>386920260</x:v>
      </x:c>
      <x:c r="K249" s="50" t="str">
        <x:v>HDMH-MAU-064</x:v>
      </x:c>
    </x:row>
    <x:row r="250">
      <x:c r="A250" s="55" t="n">
        <x:v>46197</x:v>
      </x:c>
      <x:c r="B250" s="49" t="str">
        <x:v>PC-0260</x:v>
      </x:c>
      <x:c r="C250" s="49" t="str">
        <x:v>Chi</x:v>
      </x:c>
      <x:c r="D250" s="49" t="str">
        <x:v>Marketing</x:v>
      </x:c>
      <x:c r="E250" s="49" t="str">
        <x:v>Quảng cáo mạng xã hội</x:v>
      </x:c>
      <x:c r="F250" s="49" t="str">
        <x:v>Ngân hàng</x:v>
      </x:c>
      <x:c r="G250" s="58" t="n">
        <x:v>0</x:v>
      </x:c>
      <x:c r="H250" s="58" t="n">
        <x:v>2374900</x:v>
      </x:c>
      <x:c r="I250" s="61" t="n">
        <x:f>G250-H250</x:f>
        <x:v>-2374900</x:v>
      </x:c>
      <x:c r="J250" s="61" t="n">
        <x:f>J249+I250</x:f>
        <x:v>384545360</x:v>
      </x:c>
      <x:c r="K250" s="50" t="str">
        <x:v>HDMH-MAU-065</x:v>
      </x:c>
    </x:row>
    <x:row r="251">
      <x:c r="A251" s="55" t="n">
        <x:v>46197</x:v>
      </x:c>
      <x:c r="B251" s="49" t="str">
        <x:v>PT-0170</x:v>
      </x:c>
      <x:c r="C251" s="49" t="str">
        <x:v>Thu</x:v>
      </x:c>
      <x:c r="D251" s="49" t="str">
        <x:v>Bán hàng</x:v>
      </x:c>
      <x:c r="E251" s="49" t="str">
        <x:v>Doanh thu bán hàng trong ngày - tiền mặt</x:v>
      </x:c>
      <x:c r="F251" s="49" t="str">
        <x:v>Tiền mặt</x:v>
      </x:c>
      <x:c r="G251" s="58" t="n">
        <x:v>2578000</x:v>
      </x:c>
      <x:c r="H251" s="58" t="n">
        <x:v>0</x:v>
      </x:c>
      <x:c r="I251" s="61" t="n">
        <x:f>G251-H251</x:f>
        <x:v>2578000</x:v>
      </x:c>
      <x:c r="J251" s="61" t="n">
        <x:f>J250+I251</x:f>
        <x:v>387123360</x:v>
      </x:c>
      <x:c r="K251" s="50" t="str">
        <x:v>BH-20260624</x:v>
      </x:c>
    </x:row>
    <x:row r="252">
      <x:c r="A252" s="55" t="n">
        <x:v>46197</x:v>
      </x:c>
      <x:c r="B252" s="49" t="str">
        <x:v>PT-0171</x:v>
      </x:c>
      <x:c r="C252" s="49" t="str">
        <x:v>Thu</x:v>
      </x:c>
      <x:c r="D252" s="49" t="str">
        <x:v>Bán hàng</x:v>
      </x:c>
      <x:c r="E252" s="49" t="str">
        <x:v>Doanh thu bán hàng trong ngày - QR/chuyển khoản</x:v>
      </x:c>
      <x:c r="F252" s="49" t="str">
        <x:v>Ngân hàng</x:v>
      </x:c>
      <x:c r="G252" s="58" t="n">
        <x:v>4602100</x:v>
      </x:c>
      <x:c r="H252" s="58" t="n">
        <x:v>0</x:v>
      </x:c>
      <x:c r="I252" s="61" t="n">
        <x:f>G252-H252</x:f>
        <x:v>4602100</x:v>
      </x:c>
      <x:c r="J252" s="61" t="n">
        <x:f>J251+I252</x:f>
        <x:v>391725460</x:v>
      </x:c>
      <x:c r="K252" s="50" t="str">
        <x:v>BH-20260624</x:v>
      </x:c>
    </x:row>
    <x:row r="253">
      <x:c r="A253" s="55" t="n">
        <x:v>46198</x:v>
      </x:c>
      <x:c r="B253" s="49" t="str">
        <x:v>PT-0172</x:v>
      </x:c>
      <x:c r="C253" s="49" t="str">
        <x:v>Thu</x:v>
      </x:c>
      <x:c r="D253" s="49" t="str">
        <x:v>Bán hàng</x:v>
      </x:c>
      <x:c r="E253" s="49" t="str">
        <x:v>Doanh thu bán hàng trong ngày - tiền mặt</x:v>
      </x:c>
      <x:c r="F253" s="49" t="str">
        <x:v>Tiền mặt</x:v>
      </x:c>
      <x:c r="G253" s="58" t="n">
        <x:v>2236000</x:v>
      </x:c>
      <x:c r="H253" s="58" t="n">
        <x:v>0</x:v>
      </x:c>
      <x:c r="I253" s="61" t="n">
        <x:f>G253-H253</x:f>
        <x:v>2236000</x:v>
      </x:c>
      <x:c r="J253" s="61" t="n">
        <x:f>J252+I253</x:f>
        <x:v>393961460</x:v>
      </x:c>
      <x:c r="K253" s="50" t="str">
        <x:v>BH-20260625</x:v>
      </x:c>
    </x:row>
    <x:row r="254">
      <x:c r="A254" s="55" t="n">
        <x:v>46198</x:v>
      </x:c>
      <x:c r="B254" s="49" t="str">
        <x:v>PT-0173</x:v>
      </x:c>
      <x:c r="C254" s="49" t="str">
        <x:v>Thu</x:v>
      </x:c>
      <x:c r="D254" s="49" t="str">
        <x:v>Bán hàng</x:v>
      </x:c>
      <x:c r="E254" s="49" t="str">
        <x:v>Doanh thu bán hàng trong ngày - QR/chuyển khoản</x:v>
      </x:c>
      <x:c r="F254" s="49" t="str">
        <x:v>Ngân hàng</x:v>
      </x:c>
      <x:c r="G254" s="58" t="n">
        <x:v>4898000</x:v>
      </x:c>
      <x:c r="H254" s="58" t="n">
        <x:v>0</x:v>
      </x:c>
      <x:c r="I254" s="61" t="n">
        <x:f>G254-H254</x:f>
        <x:v>4898000</x:v>
      </x:c>
      <x:c r="J254" s="61" t="n">
        <x:f>J253+I254</x:f>
        <x:v>398859460</x:v>
      </x:c>
      <x:c r="K254" s="50" t="str">
        <x:v>BH-20260625</x:v>
      </x:c>
    </x:row>
    <x:row r="255">
      <x:c r="A255" s="55" t="n">
        <x:v>46199</x:v>
      </x:c>
      <x:c r="B255" s="49" t="str">
        <x:v>PT-0174</x:v>
      </x:c>
      <x:c r="C255" s="49" t="str">
        <x:v>Thu</x:v>
      </x:c>
      <x:c r="D255" s="49" t="str">
        <x:v>Bán hàng</x:v>
      </x:c>
      <x:c r="E255" s="49" t="str">
        <x:v>Doanh thu bán hàng trong ngày - tiền mặt</x:v>
      </x:c>
      <x:c r="F255" s="49" t="str">
        <x:v>Tiền mặt</x:v>
      </x:c>
      <x:c r="G255" s="58" t="n">
        <x:v>2504000</x:v>
      </x:c>
      <x:c r="H255" s="58" t="n">
        <x:v>0</x:v>
      </x:c>
      <x:c r="I255" s="61" t="n">
        <x:f>G255-H255</x:f>
        <x:v>2504000</x:v>
      </x:c>
      <x:c r="J255" s="61" t="n">
        <x:f>J254+I255</x:f>
        <x:v>401363460</x:v>
      </x:c>
      <x:c r="K255" s="50" t="str">
        <x:v>BH-20260626</x:v>
      </x:c>
    </x:row>
    <x:row r="256">
      <x:c r="A256" s="55" t="n">
        <x:v>46199</x:v>
      </x:c>
      <x:c r="B256" s="49" t="str">
        <x:v>PT-0175</x:v>
      </x:c>
      <x:c r="C256" s="49" t="str">
        <x:v>Thu</x:v>
      </x:c>
      <x:c r="D256" s="49" t="str">
        <x:v>Bán hàng</x:v>
      </x:c>
      <x:c r="E256" s="49" t="str">
        <x:v>Doanh thu bán hàng trong ngày - QR/chuyển khoản</x:v>
      </x:c>
      <x:c r="F256" s="49" t="str">
        <x:v>Ngân hàng</x:v>
      </x:c>
      <x:c r="G256" s="58" t="n">
        <x:v>4174100</x:v>
      </x:c>
      <x:c r="H256" s="58" t="n">
        <x:v>0</x:v>
      </x:c>
      <x:c r="I256" s="61" t="n">
        <x:f>G256-H256</x:f>
        <x:v>4174100</x:v>
      </x:c>
      <x:c r="J256" s="61" t="n">
        <x:f>J255+I256</x:f>
        <x:v>405537560</x:v>
      </x:c>
      <x:c r="K256" s="50" t="str">
        <x:v>BH-20260626</x:v>
      </x:c>
    </x:row>
    <x:row r="257">
      <x:c r="A257" s="55" t="n">
        <x:v>46200</x:v>
      </x:c>
      <x:c r="B257" s="49" t="str">
        <x:v>PT-0176</x:v>
      </x:c>
      <x:c r="C257" s="49" t="str">
        <x:v>Thu</x:v>
      </x:c>
      <x:c r="D257" s="49" t="str">
        <x:v>Bán hàng</x:v>
      </x:c>
      <x:c r="E257" s="49" t="str">
        <x:v>Doanh thu bán hàng trong ngày - tiền mặt</x:v>
      </x:c>
      <x:c r="F257" s="49" t="str">
        <x:v>Tiền mặt</x:v>
      </x:c>
      <x:c r="G257" s="58" t="n">
        <x:v>3444000</x:v>
      </x:c>
      <x:c r="H257" s="58" t="n">
        <x:v>0</x:v>
      </x:c>
      <x:c r="I257" s="61" t="n">
        <x:f>G257-H257</x:f>
        <x:v>3444000</x:v>
      </x:c>
      <x:c r="J257" s="61" t="n">
        <x:f>J256+I257</x:f>
        <x:v>408981560</x:v>
      </x:c>
      <x:c r="K257" s="50" t="str">
        <x:v>BH-20260627</x:v>
      </x:c>
    </x:row>
    <x:row r="258">
      <x:c r="A258" s="55" t="n">
        <x:v>46200</x:v>
      </x:c>
      <x:c r="B258" s="49" t="str">
        <x:v>PT-0177</x:v>
      </x:c>
      <x:c r="C258" s="49" t="str">
        <x:v>Thu</x:v>
      </x:c>
      <x:c r="D258" s="49" t="str">
        <x:v>Bán hàng</x:v>
      </x:c>
      <x:c r="E258" s="49" t="str">
        <x:v>Doanh thu bán hàng trong ngày - QR/chuyển khoản</x:v>
      </x:c>
      <x:c r="F258" s="49" t="str">
        <x:v>Ngân hàng</x:v>
      </x:c>
      <x:c r="G258" s="58" t="n">
        <x:v>6118800</x:v>
      </x:c>
      <x:c r="H258" s="58" t="n">
        <x:v>0</x:v>
      </x:c>
      <x:c r="I258" s="61" t="n">
        <x:f>G258-H258</x:f>
        <x:v>6118800</x:v>
      </x:c>
      <x:c r="J258" s="61" t="n">
        <x:f>J257+I258</x:f>
        <x:v>415100360</x:v>
      </x:c>
      <x:c r="K258" s="50" t="str">
        <x:v>BH-20260627</x:v>
      </x:c>
    </x:row>
    <x:row r="259">
      <x:c r="A259" s="55" t="n">
        <x:v>46201</x:v>
      </x:c>
      <x:c r="B259" s="49" t="str">
        <x:v>PT-0178</x:v>
      </x:c>
      <x:c r="C259" s="49" t="str">
        <x:v>Thu</x:v>
      </x:c>
      <x:c r="D259" s="49" t="str">
        <x:v>Bán hàng</x:v>
      </x:c>
      <x:c r="E259" s="49" t="str">
        <x:v>Doanh thu bán hàng trong ngày - tiền mặt</x:v>
      </x:c>
      <x:c r="F259" s="49" t="str">
        <x:v>Tiền mặt</x:v>
      </x:c>
      <x:c r="G259" s="58" t="n">
        <x:v>3451000</x:v>
      </x:c>
      <x:c r="H259" s="58" t="n">
        <x:v>0</x:v>
      </x:c>
      <x:c r="I259" s="61" t="n">
        <x:f>G259-H259</x:f>
        <x:v>3451000</x:v>
      </x:c>
      <x:c r="J259" s="61" t="n">
        <x:f>J258+I259</x:f>
        <x:v>418551360</x:v>
      </x:c>
      <x:c r="K259" s="50" t="str">
        <x:v>BH-20260628</x:v>
      </x:c>
    </x:row>
    <x:row r="260">
      <x:c r="A260" s="55" t="n">
        <x:v>46201</x:v>
      </x:c>
      <x:c r="B260" s="49" t="str">
        <x:v>PT-0179</x:v>
      </x:c>
      <x:c r="C260" s="49" t="str">
        <x:v>Thu</x:v>
      </x:c>
      <x:c r="D260" s="49" t="str">
        <x:v>Bán hàng</x:v>
      </x:c>
      <x:c r="E260" s="49" t="str">
        <x:v>Doanh thu bán hàng trong ngày - QR/chuyển khoản</x:v>
      </x:c>
      <x:c r="F260" s="49" t="str">
        <x:v>Ngân hàng</x:v>
      </x:c>
      <x:c r="G260" s="58" t="n">
        <x:v>5907750</x:v>
      </x:c>
      <x:c r="H260" s="58" t="n">
        <x:v>0</x:v>
      </x:c>
      <x:c r="I260" s="61" t="n">
        <x:f>G260-H260</x:f>
        <x:v>5907750</x:v>
      </x:c>
      <x:c r="J260" s="61" t="n">
        <x:f>J259+I260</x:f>
        <x:v>424459110</x:v>
      </x:c>
      <x:c r="K260" s="50" t="str">
        <x:v>BH-20260628</x:v>
      </x:c>
    </x:row>
    <x:row r="261">
      <x:c r="A261" s="55" t="n">
        <x:v>46202</x:v>
      </x:c>
      <x:c r="B261" s="49" t="str">
        <x:v>PT-0180</x:v>
      </x:c>
      <x:c r="C261" s="49" t="str">
        <x:v>Thu</x:v>
      </x:c>
      <x:c r="D261" s="49" t="str">
        <x:v>Bán hàng</x:v>
      </x:c>
      <x:c r="E261" s="49" t="str">
        <x:v>Doanh thu bán hàng trong ngày - tiền mặt</x:v>
      </x:c>
      <x:c r="F261" s="49" t="str">
        <x:v>Tiền mặt</x:v>
      </x:c>
      <x:c r="G261" s="58" t="n">
        <x:v>2806000</x:v>
      </x:c>
      <x:c r="H261" s="58" t="n">
        <x:v>0</x:v>
      </x:c>
      <x:c r="I261" s="61" t="n">
        <x:f>G261-H261</x:f>
        <x:v>2806000</x:v>
      </x:c>
      <x:c r="J261" s="61" t="n">
        <x:f>J260+I261</x:f>
        <x:v>427265110</x:v>
      </x:c>
      <x:c r="K261" s="50" t="str">
        <x:v>BH-20260629</x:v>
      </x:c>
    </x:row>
    <x:row r="262">
      <x:c r="A262" s="55" t="n">
        <x:v>46202</x:v>
      </x:c>
      <x:c r="B262" s="49" t="str">
        <x:v>PT-0181</x:v>
      </x:c>
      <x:c r="C262" s="49" t="str">
        <x:v>Thu</x:v>
      </x:c>
      <x:c r="D262" s="49" t="str">
        <x:v>Bán hàng</x:v>
      </x:c>
      <x:c r="E262" s="49" t="str">
        <x:v>Doanh thu bán hàng trong ngày - QR/chuyển khoản</x:v>
      </x:c>
      <x:c r="F262" s="49" t="str">
        <x:v>Ngân hàng</x:v>
      </x:c>
      <x:c r="G262" s="58" t="n">
        <x:v>4785900</x:v>
      </x:c>
      <x:c r="H262" s="58" t="n">
        <x:v>0</x:v>
      </x:c>
      <x:c r="I262" s="61" t="n">
        <x:f>G262-H262</x:f>
        <x:v>4785900</x:v>
      </x:c>
      <x:c r="J262" s="61" t="n">
        <x:f>J261+I262</x:f>
        <x:v>432051010</x:v>
      </x:c>
      <x:c r="K262" s="50" t="str">
        <x:v>BH-20260629</x:v>
      </x:c>
    </x:row>
    <x:row r="263">
      <x:c r="A263" s="55" t="n">
        <x:v>46203</x:v>
      </x:c>
      <x:c r="B263" s="49" t="str">
        <x:v>PT-0182</x:v>
      </x:c>
      <x:c r="C263" s="49" t="str">
        <x:v>Thu</x:v>
      </x:c>
      <x:c r="D263" s="49" t="str">
        <x:v>Bán hàng</x:v>
      </x:c>
      <x:c r="E263" s="49" t="str">
        <x:v>Doanh thu bán hàng trong ngày - tiền mặt</x:v>
      </x:c>
      <x:c r="F263" s="49" t="str">
        <x:v>Tiền mặt</x:v>
      </x:c>
      <x:c r="G263" s="58" t="n">
        <x:v>2756000</x:v>
      </x:c>
      <x:c r="H263" s="58" t="n">
        <x:v>0</x:v>
      </x:c>
      <x:c r="I263" s="61" t="n">
        <x:f>G263-H263</x:f>
        <x:v>2756000</x:v>
      </x:c>
      <x:c r="J263" s="61" t="n">
        <x:f>J262+I263</x:f>
        <x:v>434807010</x:v>
      </x:c>
      <x:c r="K263" s="50" t="str">
        <x:v>BH-20260630</x:v>
      </x:c>
    </x:row>
    <x:row r="264">
      <x:c r="A264" s="56" t="n">
        <x:v>46203</x:v>
      </x:c>
      <x:c r="B264" s="52" t="str">
        <x:v>PT-0183</x:v>
      </x:c>
      <x:c r="C264" s="52" t="str">
        <x:v>Thu</x:v>
      </x:c>
      <x:c r="D264" s="52" t="str">
        <x:v>Bán hàng</x:v>
      </x:c>
      <x:c r="E264" s="52" t="str">
        <x:v>Doanh thu bán hàng trong ngày - QR/chuyển khoản</x:v>
      </x:c>
      <x:c r="F264" s="52" t="str">
        <x:v>Ngân hàng</x:v>
      </x:c>
      <x:c r="G264" s="59" t="n">
        <x:v>4565400</x:v>
      </x:c>
      <x:c r="H264" s="59" t="n">
        <x:v>0</x:v>
      </x:c>
      <x:c r="I264" s="62" t="n">
        <x:f>G264-H264</x:f>
        <x:v>4565400</x:v>
      </x:c>
      <x:c r="J264" s="62" t="n">
        <x:f>J263+I264</x:f>
        <x:v>439372410</x:v>
      </x:c>
      <x:c r="K264" s="53" t="str">
        <x:v>BH-20260630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30" hidden="0" customWidth="1"/>
    <x:col min="7" max="7" width="30" hidden="0" customWidth="1"/>
  </x:cols>
  <x:sheetData>
    <x:row r="1" ht="32" customHeight="1">
      <x:c r="A1" s="3" t="str">
        <x:v>KIỂM TRA ĐỐI SOÁT</x:v>
      </x:c>
    </x:row>
    <x:row r="2" ht="25" customHeight="1">
      <x:c r="A2" s="7" t="str">
        <x:v>PASS chỉ có nghĩa dữ liệu mô phỏng tự khớp về số học, không phải xác nhận kiểm toán.</x:v>
      </x:c>
    </x:row>
    <x:row r="4" ht="28" customHeight="1">
      <x:c r="A4" s="20" t="str">
        <x:v>Kiểm tra</x:v>
      </x:c>
      <x:c r="B4" s="63" t="str">
        <x:v>Thực tế</x:v>
      </x:c>
      <x:c r="C4" s="63" t="str">
        <x:v>Kỳ vọng</x:v>
      </x:c>
      <x:c r="D4" s="63" t="str">
        <x:v>Chênh lệch</x:v>
      </x:c>
      <x:c r="E4" s="63" t="str">
        <x:v>Trạng thái</x:v>
      </x:c>
      <x:c r="F4" s="63" t="str">
        <x:v>Nơi sửa</x:v>
      </x:c>
      <x:c r="G4" s="21" t="str">
        <x:v>Ghi chú</x:v>
      </x:c>
    </x:row>
    <x:row r="5">
      <x:c r="A5" s="22" t="str">
        <x:v>Tổng doanh thu bán hàng</x:v>
      </x:c>
      <x:c r="B5" s="64" t="n">
        <x:f>SUMIFS('Sổ thu chi'!$G$5:$G$264,'Sổ thu chi'!$D$5:$D$264,"Bán hàng")</x:f>
        <x:v>671303450</x:v>
      </x:c>
      <x:c r="C5" s="64" t="n">
        <x:v>671303450</x:v>
      </x:c>
      <x:c r="D5" s="64" t="n">
        <x:f>B5-C5</x:f>
        <x:v>0</x:v>
      </x:c>
      <x:c r="E5" s="65" t="str">
        <x:f>IF(ABS(D5)&lt;=1,"OK","FAIL")</x:f>
        <x:v>OK</x:v>
      </x:c>
      <x:c r="F5" s="65" t="str">
        <x:v>Sổ thu chi - nhóm Bán hàng</x:v>
      </x:c>
      <x:c r="G5" s="66" t="str">
        <x:v>Khớp dữ liệu bán hàng trung tâm</x:v>
      </x:c>
    </x:row>
    <x:row r="6">
      <x:c r="A6" s="22" t="str">
        <x:v>Tổng tiền ra khớp chứng từ chi</x:v>
      </x:c>
      <x:c r="B6" s="64" t="n">
        <x:f>SUM('Sổ thu chi'!$H$5:$H$264)</x:f>
        <x:v>761931040</x:v>
      </x:c>
      <x:c r="C6" s="64" t="n">
        <x:v>761931040</x:v>
      </x:c>
      <x:c r="D6" s="64" t="n">
        <x:f>B6-C6</x:f>
        <x:v>0</x:v>
      </x:c>
      <x:c r="E6" s="65" t="str">
        <x:f>IF(ABS(D6)&lt;=1,"OK","FAIL")</x:f>
        <x:v>OK</x:v>
      </x:c>
      <x:c r="F6" s="65" t="str">
        <x:v>Sổ thu chi - Tiền ra</x:v>
      </x:c>
      <x:c r="G6" s="66" t="str">
        <x:v>Khớp mua hàng và chi phí</x:v>
      </x:c>
    </x:row>
    <x:row r="7">
      <x:c r="A7" s="22" t="str">
        <x:v>Số dư cuối kỳ</x:v>
      </x:c>
      <x:c r="B7" s="64" t="n">
        <x:f>'Sổ thu chi'!$J$264</x:f>
        <x:v>439372410</x:v>
      </x:c>
      <x:c r="C7" s="64" t="n">
        <x:v>439372410</x:v>
      </x:c>
      <x:c r="D7" s="64" t="n">
        <x:f>B7-C7</x:f>
        <x:v>0</x:v>
      </x:c>
      <x:c r="E7" s="65" t="str">
        <x:f>IF(ABS(D7)&lt;=1,"OK","FAIL")</x:f>
        <x:v>OK</x:v>
      </x:c>
      <x:c r="F7" s="65" t="str">
        <x:v>Sổ thu chi - Số dư chạy</x:v>
      </x:c>
      <x:c r="G7" s="66" t="str">
        <x:v>Đầu kỳ + vào - ra</x:v>
      </x:c>
    </x:row>
    <x:row r="8">
      <x:c r="A8" s="25" t="str">
        <x:v>MODEL STATUS</x:v>
      </x:c>
      <x:c r="B8" s="67"/>
      <x:c r="C8" s="67"/>
      <x:c r="D8" s="67"/>
      <x:c r="E8" s="67" t="str">
        <x:f>IF(COUNTIF(E5:E7,"FAIL")=0,"PASS","FAIL")</x:f>
        <x:v>PASS</x:v>
      </x:c>
      <x:c r="F8" s="67" t="str">
        <x:v>Các dòng phía trên</x:v>
      </x:c>
      <x:c r="G8" s="68" t="str">
        <x:v>Tất cả kiểm tra phải OK</x:v>
      </x:c>
    </x:row>
  </x:sheetData>
  <x:mergeCells>
    <x:mergeCell ref="A1:G1"/>
    <x:mergeCell ref="A2:G2"/>
  </x:mergeCells>
  <x:pageMargins left="0.7" right="0.7" top="0.75" bottom="0.75" header="0.3" footer="0.3"/>
</x:worksheet>
</file>