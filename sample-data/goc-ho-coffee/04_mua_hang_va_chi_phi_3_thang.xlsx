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a614bcc1994e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óm tắt" sheetId="1" r:id="R7794ca61f1004ad3"/>
    <x:sheet xmlns:r="http://schemas.openxmlformats.org/officeDocument/2006/relationships" name="Mua hàng chi phí" sheetId="2" r:id="Rc3ece8d171994d46"/>
    <x:sheet xmlns:r="http://schemas.openxmlformats.org/officeDocument/2006/relationships" name="Nhà cung cấp" sheetId="3" r:id="R4aeb2ec745734d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[Red](#,##0);-"/>
    <x:numFmt numFmtId="201" formatCode="yyyy-mm-dd"/>
    <x:numFmt numFmtId="202" formatCode="#,##0"/>
    <x:numFmt numFmtId="203" formatCode="0.0%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8756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0"/>
      <x:color rgb="FF1F292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B2B"/>
      </x:patternFill>
    </x:fill>
    <x:fill>
      <x:patternFill patternType="solid">
        <x:fgColor rgb="FFF4F0E6"/>
      </x:patternFill>
    </x:fill>
    <x:fill>
      <x:patternFill patternType="solid">
        <x:fgColor rgb="FF2F6B4F"/>
      </x:patternFill>
    </x:fill>
  </x:fills>
  <x:borders count="14">
    <x:border/>
    <x:border>
      <x:right style="thin">
        <x:color rgb="FF8DA89A"/>
      </x:right>
    </x:border>
    <x:border>
      <x:left style="thin">
        <x:color rgb="FF8DA89A"/>
      </x:left>
    </x:border>
    <x:border>
      <x:left style="thin">
        <x:color rgb="FF8DA89A"/>
      </x:left>
      <x:right style="thin">
        <x:color rgb="FF8DA89A"/>
      </x:right>
    </x:border>
    <x:border>
      <x:bottom style="double">
        <x:color rgb="FF173B2B"/>
      </x:bottom>
    </x:border>
    <x:border>
      <x:right style="thin">
        <x:color rgb="FFD6DDD8"/>
      </x:right>
      <x:bottom style="thin">
        <x:color rgb="FFD6DDD8"/>
      </x:bottom>
    </x:border>
    <x:border>
      <x:left style="thin">
        <x:color rgb="FFD6DDD8"/>
      </x:left>
      <x:right style="thin">
        <x:color rgb="FFD6DDD8"/>
      </x:right>
      <x:bottom style="thin">
        <x:color rgb="FFD6DDD8"/>
      </x:bottom>
    </x:border>
    <x:border>
      <x:left style="thin">
        <x:color rgb="FFD6DDD8"/>
      </x:left>
      <x:bottom style="thin">
        <x:color rgb="FFD6DDD8"/>
      </x:bottom>
    </x:border>
    <x:border>
      <x:right style="thin">
        <x:color rgb="FFD6DDD8"/>
      </x:right>
      <x:top style="thin">
        <x:color rgb="FFD6DDD8"/>
      </x:top>
      <x:bottom style="thin">
        <x:color rgb="FFD6DDD8"/>
      </x:bottom>
    </x:border>
    <x:border>
      <x:left style="thin">
        <x:color rgb="FFD6DDD8"/>
      </x:left>
      <x:right style="thin">
        <x:color rgb="FFD6DDD8"/>
      </x:right>
      <x:top style="thin">
        <x:color rgb="FFD6DDD8"/>
      </x:top>
      <x:bottom style="thin">
        <x:color rgb="FFD6DDD8"/>
      </x:bottom>
    </x:border>
    <x:border>
      <x:left style="thin">
        <x:color rgb="FFD6DDD8"/>
      </x:left>
      <x:top style="thin">
        <x:color rgb="FFD6DDD8"/>
      </x:top>
      <x:bottom style="thin">
        <x:color rgb="FFD6DDD8"/>
      </x:bottom>
    </x:border>
    <x:border>
      <x:right style="thin">
        <x:color rgb="FFD6DDD8"/>
      </x:right>
      <x:top style="thin">
        <x:color rgb="FFD6DDD8"/>
      </x:top>
    </x:border>
    <x:border>
      <x:left style="thin">
        <x:color rgb="FFD6DDD8"/>
      </x:left>
      <x:right style="thin">
        <x:color rgb="FFD6DDD8"/>
      </x:right>
      <x:top style="thin">
        <x:color rgb="FFD6DDD8"/>
      </x:top>
    </x:border>
    <x:border>
      <x:left style="thin">
        <x:color rgb="FFD6DDD8"/>
      </x:left>
      <x:top style="thin">
        <x:color rgb="FFD6DDD8"/>
      </x:top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4" xfId="0" applyNumberFormat="1" applyFont="1" applyFill="1" applyBorder="1"/>
    <x:xf numFmtId="200" fontId="4" fillId="0" borderId="4" xfId="0" applyNumberFormat="1" applyFont="1" applyFill="1" applyBorder="1"/>
    <x:xf numFmtId="0" fontId="5" fillId="0" borderId="0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/>
    </x:xf>
    <x:xf numFmtId="0" fontId="5" fillId="0" borderId="11" xfId="0" applyNumberFormat="1" applyFont="1" applyFill="1" applyBorder="1" applyAlignment="1">
      <x:alignment vertical="center"/>
    </x:xf>
    <x:xf numFmtId="0" fontId="5" fillId="0" borderId="12" xfId="0" applyNumberFormat="1" applyFont="1" applyFill="1" applyBorder="1" applyAlignment="1">
      <x:alignment vertical="center"/>
    </x:xf>
    <x:xf numFmtId="0" fontId="5" fillId="0" borderId="13" xfId="0" applyNumberFormat="1" applyFont="1" applyFill="1" applyBorder="1" applyAlignment="1">
      <x:alignment vertical="center"/>
    </x:xf>
    <x:xf numFmtId="201" fontId="5" fillId="0" borderId="5" xfId="0" applyNumberFormat="1" applyFont="1" applyFill="1" applyBorder="1" applyAlignment="1">
      <x:alignment vertical="center"/>
    </x:xf>
    <x:xf numFmtId="201" fontId="5" fillId="0" borderId="8" xfId="0" applyNumberFormat="1" applyFont="1" applyFill="1" applyBorder="1" applyAlignment="1">
      <x:alignment vertical="center"/>
    </x:xf>
    <x:xf numFmtId="201" fontId="5" fillId="0" borderId="11" xfId="0" applyNumberFormat="1" applyFont="1" applyFill="1" applyBorder="1" applyAlignment="1">
      <x:alignment vertical="center"/>
    </x:xf>
    <x:xf numFmtId="202" fontId="5" fillId="0" borderId="6" xfId="0" applyNumberFormat="1" applyFont="1" applyFill="1" applyBorder="1" applyAlignment="1">
      <x:alignment vertical="center"/>
    </x:xf>
    <x:xf numFmtId="202" fontId="5" fillId="0" borderId="9" xfId="0" applyNumberFormat="1" applyFont="1" applyFill="1" applyBorder="1" applyAlignment="1">
      <x:alignment vertical="center"/>
    </x:xf>
    <x:xf numFmtId="202" fontId="5" fillId="0" borderId="12" xfId="0" applyNumberFormat="1" applyFont="1" applyFill="1" applyBorder="1" applyAlignment="1">
      <x:alignment vertical="center"/>
    </x:xf>
    <x:xf numFmtId="200" fontId="5" fillId="0" borderId="6" xfId="0" applyNumberFormat="1" applyFont="1" applyFill="1" applyBorder="1" applyAlignment="1">
      <x:alignment vertical="center"/>
    </x:xf>
    <x:xf numFmtId="200" fontId="5" fillId="0" borderId="9" xfId="0" applyNumberFormat="1" applyFont="1" applyFill="1" applyBorder="1" applyAlignment="1">
      <x:alignment vertical="center"/>
    </x:xf>
    <x:xf numFmtId="200" fontId="5" fillId="0" borderId="12" xfId="0" applyNumberFormat="1" applyFont="1" applyFill="1" applyBorder="1" applyAlignment="1">
      <x:alignment vertical="center"/>
    </x:xf>
    <x:xf numFmtId="203" fontId="5" fillId="0" borderId="6" xfId="0" applyNumberFormat="1" applyFont="1" applyFill="1" applyBorder="1" applyAlignment="1">
      <x:alignment vertical="center"/>
    </x:xf>
    <x:xf numFmtId="203" fontId="5" fillId="0" borderId="9" xfId="0" applyNumberFormat="1" applyFont="1" applyFill="1" applyBorder="1" applyAlignment="1">
      <x:alignment vertical="center"/>
    </x:xf>
    <x:xf numFmtId="203" fontId="5" fillId="0" borderId="1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052939c0364201" /><Relationship Type="http://schemas.openxmlformats.org/officeDocument/2006/relationships/theme" Target="/xl/theme/theme1.xml" Id="Rdbe71beac6744f6e" /><Relationship Type="http://schemas.openxmlformats.org/officeDocument/2006/relationships/sharedStrings" Target="/xl/sharedStrings.xml" Id="Rdb12423cd2d641e5" /><Relationship Type="http://schemas.openxmlformats.org/officeDocument/2006/relationships/worksheet" Target="/xl/worksheets/sheet1.xml" Id="R7794ca61f1004ad3" /><Relationship Type="http://schemas.openxmlformats.org/officeDocument/2006/relationships/worksheet" Target="/xl/worksheets/sheet2.xml" Id="Rc3ece8d171994d46" /><Relationship Type="http://schemas.openxmlformats.org/officeDocument/2006/relationships/worksheet" Target="/xl/worksheets/sheet3.xml" Id="R4aeb2ec745734d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2" customHeight="1">
      <x:c r="A1" s="3" t="str">
        <x:v>MUA HÀNG VÀ CHI PHÍ - GÓC HỒ COFFEE</x:v>
      </x:c>
    </x:row>
    <x:row r="2" ht="25" customHeight="1">
      <x:c r="A2" s="7" t="str">
        <x:v>2026-04-01 đến 2026-06-30 | DỮ LIỆU MÔ PHỎNG - KHÔNG CÓ GIÁ TRỊ PHÁP LÝ</x:v>
      </x:c>
    </x:row>
    <x:row r="4" ht="28" customHeight="1">
      <x:c r="A4" s="14" t="str">
        <x:v>Chỉ tiêu</x:v>
      </x:c>
      <x:c r="B4" s="15" t="str">
        <x:v>Giá trị</x:v>
      </x:c>
    </x:row>
    <x:row r="5">
      <x:c r="A5" t="str">
        <x:v>Tổng trước VAT</x:v>
      </x:c>
      <x:c r="B5" s="16" t="n">
        <x:f>SUM('Mua hàng chi phí'!$J$5:$J$81)</x:f>
        <x:v>733477000</x:v>
      </x:c>
    </x:row>
    <x:row r="6">
      <x:c r="A6" t="str">
        <x:v>Tổng VAT</x:v>
      </x:c>
      <x:c r="B6" s="16" t="n">
        <x:f>SUM('Mua hàng chi phí'!$L$5:$L$81)</x:f>
        <x:v>28454040</x:v>
      </x:c>
    </x:row>
    <x:row r="7">
      <x:c r="A7" t="str">
        <x:v>Tổng thanh toán</x:v>
      </x:c>
      <x:c r="B7" s="16" t="n">
        <x:f>SUM('Mua hàng chi phí'!$M$5:$M$81)</x:f>
        <x:v>761931040</x:v>
      </x:c>
    </x:row>
    <x:row r="8">
      <x:c r="A8" t="str">
        <x:v>Số chứng từ</x:v>
      </x:c>
      <x:c r="B8" t="n">
        <x:v>77</x:v>
      </x:c>
    </x:row>
    <x:row r="11" ht="28" customHeight="1">
      <x:c r="A11" s="14" t="str">
        <x:v>Tháng</x:v>
      </x:c>
      <x:c r="B11" s="19" t="str">
        <x:v>Từ ngày</x:v>
      </x:c>
      <x:c r="C11" s="19" t="str">
        <x:v>Đến ngày</x:v>
      </x:c>
      <x:c r="D11" s="19" t="str">
        <x:v>Trước VAT</x:v>
      </x:c>
      <x:c r="E11" s="19" t="str">
        <x:v>VAT</x:v>
      </x:c>
      <x:c r="F11" s="15" t="str">
        <x:v>Tổng thanh toán</x:v>
      </x:c>
    </x:row>
    <x:row r="12">
      <x:c r="A12" t="str">
        <x:v>04/2026</x:v>
      </x:c>
      <x:c r="B12" s="20" t="n">
        <x:v>46113</x:v>
      </x:c>
      <x:c r="C12" s="20" t="n">
        <x:v>46142</x:v>
      </x:c>
      <x:c r="D12" s="16" t="n">
        <x:f>SUMIFS('Mua hàng chi phí'!$J$5:$J$81,'Mua hàng chi phí'!$A$5:$A$81,"&gt;="&amp;B12,'Mua hàng chi phí'!$A$5:$A$81,"&lt;="&amp;C12)</x:f>
        <x:v>260950000</x:v>
      </x:c>
      <x:c r="E12" s="16" t="n">
        <x:f>SUMIFS('Mua hàng chi phí'!$L$5:$L$81,'Mua hàng chi phí'!$A$5:$A$81,"&gt;="&amp;B12,'Mua hàng chi phí'!$A$5:$A$81,"&lt;="&amp;C12)</x:f>
        <x:v>10838840</x:v>
      </x:c>
      <x:c r="F12" s="16" t="n">
        <x:f>SUMIFS('Mua hàng chi phí'!$M$5:$M$81,'Mua hàng chi phí'!$A$5:$A$81,"&gt;="&amp;B12,'Mua hàng chi phí'!$A$5:$A$81,"&lt;="&amp;C12)</x:f>
        <x:v>271788840</x:v>
      </x:c>
    </x:row>
    <x:row r="13">
      <x:c r="A13" t="str">
        <x:v>05/2026</x:v>
      </x:c>
      <x:c r="B13" s="20" t="n">
        <x:v>46143</x:v>
      </x:c>
      <x:c r="C13" s="20" t="n">
        <x:v>46173</x:v>
      </x:c>
      <x:c r="D13" s="16" t="n">
        <x:f>SUMIFS('Mua hàng chi phí'!$J$5:$J$81,'Mua hàng chi phí'!$A$5:$A$81,"&gt;="&amp;B13,'Mua hàng chi phí'!$A$5:$A$81,"&lt;="&amp;C13)</x:f>
        <x:v>238289000</x:v>
      </x:c>
      <x:c r="E13" s="16" t="n">
        <x:f>SUMIFS('Mua hàng chi phí'!$L$5:$L$81,'Mua hàng chi phí'!$A$5:$A$81,"&gt;="&amp;B13,'Mua hàng chi phí'!$A$5:$A$81,"&lt;="&amp;C13)</x:f>
        <x:v>8975940</x:v>
      </x:c>
      <x:c r="F13" s="16" t="n">
        <x:f>SUMIFS('Mua hàng chi phí'!$M$5:$M$81,'Mua hàng chi phí'!$A$5:$A$81,"&gt;="&amp;B13,'Mua hàng chi phí'!$A$5:$A$81,"&lt;="&amp;C13)</x:f>
        <x:v>247264940</x:v>
      </x:c>
    </x:row>
    <x:row r="14">
      <x:c r="A14" t="str">
        <x:v>06/2026</x:v>
      </x:c>
      <x:c r="B14" s="20" t="n">
        <x:v>46174</x:v>
      </x:c>
      <x:c r="C14" s="20" t="n">
        <x:v>46203</x:v>
      </x:c>
      <x:c r="D14" s="16" t="n">
        <x:f>SUMIFS('Mua hàng chi phí'!$J$5:$J$81,'Mua hàng chi phí'!$A$5:$A$81,"&gt;="&amp;B14,'Mua hàng chi phí'!$A$5:$A$81,"&lt;="&amp;C14)</x:f>
        <x:v>234238000</x:v>
      </x:c>
      <x:c r="E14" s="16" t="n">
        <x:f>SUMIFS('Mua hàng chi phí'!$L$5:$L$81,'Mua hàng chi phí'!$A$5:$A$81,"&gt;="&amp;B14,'Mua hàng chi phí'!$A$5:$A$81,"&lt;="&amp;C14)</x:f>
        <x:v>8639260</x:v>
      </x:c>
      <x:c r="F14" s="16" t="n">
        <x:f>SUMIFS('Mua hàng chi phí'!$M$5:$M$81,'Mua hàng chi phí'!$A$5:$A$81,"&gt;="&amp;B14,'Mua hàng chi phí'!$A$5:$A$81,"&lt;="&amp;C14)</x:f>
        <x:v>242877260</x:v>
      </x:c>
    </x:row>
    <x:row r="15">
      <x:c r="A15" s="23" t="str">
        <x:v>Tổng</x:v>
      </x:c>
      <x:c r="B15" s="23"/>
      <x:c r="C15" s="23"/>
      <x:c r="D15" s="24" t="n">
        <x:f>SUM(D12:D14)</x:f>
        <x:v>733477000</x:v>
      </x:c>
      <x:c r="E15" s="24" t="n">
        <x:f>SUM(E12:E14)</x:f>
        <x:v>28454040</x:v>
      </x:c>
      <x:c r="F15" s="24" t="n">
        <x:f>SUM(F12:F14)</x:f>
        <x:v>761931040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34" hidden="0" customWidth="1"/>
    <x:col min="5" max="5" width="25" hidden="0" customWidth="1"/>
    <x:col min="6" max="6" width="25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28" hidden="0" customWidth="1"/>
  </x:cols>
  <x:sheetData>
    <x:row r="1" ht="32" customHeight="1">
      <x:c r="A1" s="3" t="str">
        <x:v>CHI TIẾT CHỨNG TỪ MUA HÀNG VÀ CHI PHÍ</x:v>
      </x:c>
    </x:row>
    <x:row r="2" ht="25" customHeight="1">
      <x:c r="A2" s="7" t="str">
        <x:v>Đơn giá là dữ liệu đầu vào; Trước VAT, VAT và Tổng thanh toán là công thức trong workbook.</x:v>
      </x:c>
    </x:row>
    <x:row r="4" ht="28" customHeight="1">
      <x:c r="A4" s="14" t="str">
        <x:v>Ngày</x:v>
      </x:c>
      <x:c r="B4" s="19" t="str">
        <x:v>Mã chứng từ</x:v>
      </x:c>
      <x:c r="C4" s="19" t="str">
        <x:v>Mã NCC</x:v>
      </x:c>
      <x:c r="D4" s="19" t="str">
        <x:v>Nhà cung cấp</x:v>
      </x:c>
      <x:c r="E4" s="19" t="str">
        <x:v>Nhóm</x:v>
      </x:c>
      <x:c r="F4" s="19" t="str">
        <x:v>Nội dung</x:v>
      </x:c>
      <x:c r="G4" s="19" t="str">
        <x:v>ĐVT</x:v>
      </x:c>
      <x:c r="H4" s="19" t="str">
        <x:v>Số lượng</x:v>
      </x:c>
      <x:c r="I4" s="19" t="str">
        <x:v>Đơn giá</x:v>
      </x:c>
      <x:c r="J4" s="19" t="str">
        <x:v>Trước VAT</x:v>
      </x:c>
      <x:c r="K4" s="19" t="str">
        <x:v>VAT %</x:v>
      </x:c>
      <x:c r="L4" s="19" t="str">
        <x:v>VAT</x:v>
      </x:c>
      <x:c r="M4" s="19" t="str">
        <x:v>Tổng thanh toán</x:v>
      </x:c>
      <x:c r="N4" s="19" t="str">
        <x:v>Thanh toán</x:v>
      </x:c>
      <x:c r="O4" s="19" t="str">
        <x:v>Trạng thái</x:v>
      </x:c>
      <x:c r="P4" s="15" t="str">
        <x:v>Ghi chú</x:v>
      </x:c>
    </x:row>
    <x:row r="5">
      <x:c r="A5" s="44" t="n">
        <x:v>46113</x:v>
      </x:c>
      <x:c r="B5" s="36" t="str">
        <x:v>HDMH-MAU-001</x:v>
      </x:c>
      <x:c r="C5" s="36" t="str">
        <x:v>NCC-01</x:v>
      </x:c>
      <x:c r="D5" s="36" t="str">
        <x:v>Nhà rang Hương Việt (mô phỏng)</x:v>
      </x:c>
      <x:c r="E5" s="36" t="str">
        <x:v>Cà phê hạt</x:v>
      </x:c>
      <x:c r="F5" s="36" t="str">
        <x:v>Cà phê hạt rang</x:v>
      </x:c>
      <x:c r="G5" s="36" t="str">
        <x:v>kg</x:v>
      </x:c>
      <x:c r="H5" s="47" t="n">
        <x:v>25</x:v>
      </x:c>
      <x:c r="I5" s="50" t="n">
        <x:v>277000</x:v>
      </x:c>
      <x:c r="J5" s="50" t="n">
        <x:f>H5*I5</x:f>
        <x:v>6925000</x:v>
      </x:c>
      <x:c r="K5" s="53" t="n">
        <x:v>0.08</x:v>
      </x:c>
      <x:c r="L5" s="50" t="n">
        <x:f>J5*K5</x:f>
        <x:v>554000</x:v>
      </x:c>
      <x:c r="M5" s="50" t="n">
        <x:f>J5+L5</x:f>
        <x:v>7479000</x:v>
      </x:c>
      <x:c r="N5" s="36" t="str">
        <x:v>Chuyển khoản</x:v>
      </x:c>
      <x:c r="O5" s="36" t="str">
        <x:v>Đã thanh toán</x:v>
      </x:c>
      <x:c r="P5" s="37" t="str"/>
    </x:row>
    <x:row r="6">
      <x:c r="A6" s="45" t="n">
        <x:v>46113</x:v>
      </x:c>
      <x:c r="B6" s="39" t="str">
        <x:v>HDMH-MAU-002</x:v>
      </x:c>
      <x:c r="C6" s="39" t="str">
        <x:v>NCC-02</x:v>
      </x:c>
      <x:c r="D6" s="39" t="str">
        <x:v>Sữa &amp; Nguyên liệu An Bình (mô phỏng)</x:v>
      </x:c>
      <x:c r="E6" s="39" t="str">
        <x:v>Sữa và nguyên liệu</x:v>
      </x:c>
      <x:c r="F6" s="39" t="str">
        <x:v>Sữa tươi và sữa đặc</x:v>
      </x:c>
      <x:c r="G6" s="39" t="str">
        <x:v>lô</x:v>
      </x:c>
      <x:c r="H6" s="48" t="n">
        <x:v>1</x:v>
      </x:c>
      <x:c r="I6" s="51" t="n">
        <x:v>5547000</x:v>
      </x:c>
      <x:c r="J6" s="51" t="n">
        <x:f>H6*I6</x:f>
        <x:v>5547000</x:v>
      </x:c>
      <x:c r="K6" s="54" t="n">
        <x:v>0.08</x:v>
      </x:c>
      <x:c r="L6" s="51" t="n">
        <x:f>J6*K6</x:f>
        <x:v>443760</x:v>
      </x:c>
      <x:c r="M6" s="51" t="n">
        <x:f>J6+L6</x:f>
        <x:v>5990760</x:v>
      </x:c>
      <x:c r="N6" s="39" t="str">
        <x:v>Tiền mặt</x:v>
      </x:c>
      <x:c r="O6" s="39" t="str">
        <x:v>Đã thanh toán</x:v>
      </x:c>
      <x:c r="P6" s="40" t="str">
        <x:v>Đơn giá áp dụng cho toàn đơn vị</x:v>
      </x:c>
    </x:row>
    <x:row r="7">
      <x:c r="A7" s="45" t="n">
        <x:v>46113</x:v>
      </x:c>
      <x:c r="B7" s="39" t="str">
        <x:v>HDMH-MAU-003</x:v>
      </x:c>
      <x:c r="C7" s="39" t="str">
        <x:v>NCC-03</x:v>
      </x:c>
      <x:c r="D7" s="39" t="str">
        <x:v>Bao bì Xanh Hà Nội (mô phỏng)</x:v>
      </x:c>
      <x:c r="E7" s="39" t="str">
        <x:v>Bao bì</x:v>
      </x:c>
      <x:c r="F7" s="39" t="str">
        <x:v>Cốc, nắp và túi mang đi</x:v>
      </x:c>
      <x:c r="G7" s="39" t="str">
        <x:v>lô</x:v>
      </x:c>
      <x:c r="H7" s="48" t="n">
        <x:v>1</x:v>
      </x:c>
      <x:c r="I7" s="51" t="n">
        <x:v>2828000</x:v>
      </x:c>
      <x:c r="J7" s="51" t="n">
        <x:f>H7*I7</x:f>
        <x:v>2828000</x:v>
      </x:c>
      <x:c r="K7" s="54" t="n">
        <x:v>0.08</x:v>
      </x:c>
      <x:c r="L7" s="51" t="n">
        <x:f>J7*K7</x:f>
        <x:v>226240</x:v>
      </x:c>
      <x:c r="M7" s="51" t="n">
        <x:f>J7+L7</x:f>
        <x:v>3054240</x:v>
      </x:c>
      <x:c r="N7" s="39" t="str">
        <x:v>Chuyển khoản</x:v>
      </x:c>
      <x:c r="O7" s="39" t="str">
        <x:v>Đã thanh toán</x:v>
      </x:c>
      <x:c r="P7" s="40" t="str">
        <x:v>Đơn giá áp dụng cho toàn đơn vị</x:v>
      </x:c>
    </x:row>
    <x:row r="8">
      <x:c r="A8" s="45" t="n">
        <x:v>46113</x:v>
      </x:c>
      <x:c r="B8" s="39" t="str">
        <x:v>HDMH-MAU-004</x:v>
      </x:c>
      <x:c r="C8" s="39" t="str">
        <x:v>NCC-04</x:v>
      </x:c>
      <x:c r="D8" s="39" t="str">
        <x:v>Bếp bánh Ban Mai (mô phỏng)</x:v>
      </x:c>
      <x:c r="E8" s="39" t="str">
        <x:v>Bánh</x:v>
      </x:c>
      <x:c r="F8" s="39" t="str">
        <x:v>Bánh ngọt giao tuần</x:v>
      </x:c>
      <x:c r="G8" s="39" t="str">
        <x:v>lô</x:v>
      </x:c>
      <x:c r="H8" s="48" t="n">
        <x:v>1</x:v>
      </x:c>
      <x:c r="I8" s="51" t="n">
        <x:v>5000000</x:v>
      </x:c>
      <x:c r="J8" s="51" t="n">
        <x:f>H8*I8</x:f>
        <x:v>5000000</x:v>
      </x:c>
      <x:c r="K8" s="54" t="n">
        <x:v>0.08</x:v>
      </x:c>
      <x:c r="L8" s="51" t="n">
        <x:f>J8*K8</x:f>
        <x:v>400000</x:v>
      </x:c>
      <x:c r="M8" s="51" t="n">
        <x:f>J8+L8</x:f>
        <x:v>5400000</x:v>
      </x:c>
      <x:c r="N8" s="39" t="str">
        <x:v>Tiền mặt</x:v>
      </x:c>
      <x:c r="O8" s="39" t="str">
        <x:v>Đã thanh toán</x:v>
      </x:c>
      <x:c r="P8" s="40" t="str">
        <x:v>Đơn giá áp dụng cho toàn đơn vị</x:v>
      </x:c>
    </x:row>
    <x:row r="9">
      <x:c r="A9" s="45" t="n">
        <x:v>46113</x:v>
      </x:c>
      <x:c r="B9" s="39" t="str">
        <x:v>HDMH-MAU-005</x:v>
      </x:c>
      <x:c r="C9" s="39" t="str">
        <x:v>NCC-06</x:v>
      </x:c>
      <x:c r="D9" s="39" t="str">
        <x:v>Truyền thông Phố Cổ (mô phỏng)</x:v>
      </x:c>
      <x:c r="E9" s="39" t="str">
        <x:v>Marketing</x:v>
      </x:c>
      <x:c r="F9" s="39" t="str">
        <x:v>Quảng cáo mạng xã hội</x:v>
      </x:c>
      <x:c r="G9" s="39" t="str">
        <x:v>gói</x:v>
      </x:c>
      <x:c r="H9" s="48" t="n">
        <x:v>1</x:v>
      </x:c>
      <x:c r="I9" s="51" t="n">
        <x:v>2245000</x:v>
      </x:c>
      <x:c r="J9" s="51" t="n">
        <x:f>H9*I9</x:f>
        <x:v>2245000</x:v>
      </x:c>
      <x:c r="K9" s="54" t="n">
        <x:v>0.1</x:v>
      </x:c>
      <x:c r="L9" s="51" t="n">
        <x:f>J9*K9</x:f>
        <x:v>224500</x:v>
      </x:c>
      <x:c r="M9" s="51" t="n">
        <x:f>J9+L9</x:f>
        <x:v>2469500</x:v>
      </x:c>
      <x:c r="N9" s="39" t="str">
        <x:v>Chuyển khoản</x:v>
      </x:c>
      <x:c r="O9" s="39" t="str">
        <x:v>Đã thanh toán</x:v>
      </x:c>
      <x:c r="P9" s="40" t="str">
        <x:v>Đơn giá áp dụng cho toàn đơn vị</x:v>
      </x:c>
    </x:row>
    <x:row r="10">
      <x:c r="A10" s="45" t="n">
        <x:v>46114</x:v>
      </x:c>
      <x:c r="B10" s="39" t="str">
        <x:v>CP-THUE-202604</x:v>
      </x:c>
      <x:c r="C10" s="39" t="str">
        <x:v>NCC-MATBANG</x:v>
      </x:c>
      <x:c r="D10" s="39" t="str">
        <x:v>Chủ mặt bằng (mô phỏng)</x:v>
      </x:c>
      <x:c r="E10" s="39" t="str">
        <x:v>Tiền thuê</x:v>
      </x:c>
      <x:c r="F10" s="39" t="str">
        <x:v>Tiền thuê mặt bằng tháng 04/2026</x:v>
      </x:c>
      <x:c r="G10" s="39" t="str">
        <x:v>tháng</x:v>
      </x:c>
      <x:c r="H10" s="48" t="n">
        <x:v>1</x:v>
      </x:c>
      <x:c r="I10" s="51" t="n">
        <x:v>70000000</x:v>
      </x:c>
      <x:c r="J10" s="51" t="n">
        <x:f>H10*I10</x:f>
        <x:v>70000000</x:v>
      </x:c>
      <x:c r="K10" s="54" t="n">
        <x:v>0</x:v>
      </x:c>
      <x:c r="L10" s="51" t="n">
        <x:f>J10*K10</x:f>
        <x:v>0</x:v>
      </x:c>
      <x:c r="M10" s="51" t="n">
        <x:f>J10+L10</x:f>
        <x:v>70000000</x:v>
      </x:c>
      <x:c r="N10" s="39" t="str">
        <x:v>Chuyển khoản</x:v>
      </x:c>
      <x:c r="O10" s="39" t="str">
        <x:v>Đã thanh toán</x:v>
      </x:c>
      <x:c r="P10" s="40" t="str">
        <x:v>Đơn giá áp dụng cho toàn đơn vị</x:v>
      </x:c>
    </x:row>
    <x:row r="11">
      <x:c r="A11" s="45" t="n">
        <x:v>46120</x:v>
      </x:c>
      <x:c r="B11" s="39" t="str">
        <x:v>HDMH-MAU-006</x:v>
      </x:c>
      <x:c r="C11" s="39" t="str">
        <x:v>NCC-01</x:v>
      </x:c>
      <x:c r="D11" s="39" t="str">
        <x:v>Nhà rang Hương Việt (mô phỏng)</x:v>
      </x:c>
      <x:c r="E11" s="39" t="str">
        <x:v>Cà phê hạt</x:v>
      </x:c>
      <x:c r="F11" s="39" t="str">
        <x:v>Cà phê hạt rang</x:v>
      </x:c>
      <x:c r="G11" s="39" t="str">
        <x:v>kg</x:v>
      </x:c>
      <x:c r="H11" s="48" t="n">
        <x:v>26</x:v>
      </x:c>
      <x:c r="I11" s="51" t="n">
        <x:v>283000</x:v>
      </x:c>
      <x:c r="J11" s="51" t="n">
        <x:f>H11*I11</x:f>
        <x:v>7358000</x:v>
      </x:c>
      <x:c r="K11" s="54" t="n">
        <x:v>0.08</x:v>
      </x:c>
      <x:c r="L11" s="51" t="n">
        <x:f>J11*K11</x:f>
        <x:v>588640</x:v>
      </x:c>
      <x:c r="M11" s="51" t="n">
        <x:f>J11+L11</x:f>
        <x:v>7946640</x:v>
      </x:c>
      <x:c r="N11" s="39" t="str">
        <x:v>Chuyển khoản</x:v>
      </x:c>
      <x:c r="O11" s="39" t="str">
        <x:v>Đã thanh toán</x:v>
      </x:c>
      <x:c r="P11" s="40" t="str"/>
    </x:row>
    <x:row r="12">
      <x:c r="A12" s="45" t="n">
        <x:v>46120</x:v>
      </x:c>
      <x:c r="B12" s="39" t="str">
        <x:v>HDMH-MAU-007</x:v>
      </x:c>
      <x:c r="C12" s="39" t="str">
        <x:v>NCC-02</x:v>
      </x:c>
      <x:c r="D12" s="39" t="str">
        <x:v>Sữa &amp; Nguyên liệu An Bình (mô phỏng)</x:v>
      </x:c>
      <x:c r="E12" s="39" t="str">
        <x:v>Sữa và nguyên liệu</x:v>
      </x:c>
      <x:c r="F12" s="39" t="str">
        <x:v>Sữa tươi và sữa đặc</x:v>
      </x:c>
      <x:c r="G12" s="39" t="str">
        <x:v>lô</x:v>
      </x:c>
      <x:c r="H12" s="48" t="n">
        <x:v>1</x:v>
      </x:c>
      <x:c r="I12" s="51" t="n">
        <x:v>5463000</x:v>
      </x:c>
      <x:c r="J12" s="51" t="n">
        <x:f>H12*I12</x:f>
        <x:v>5463000</x:v>
      </x:c>
      <x:c r="K12" s="54" t="n">
        <x:v>0.08</x:v>
      </x:c>
      <x:c r="L12" s="51" t="n">
        <x:f>J12*K12</x:f>
        <x:v>437040</x:v>
      </x:c>
      <x:c r="M12" s="51" t="n">
        <x:f>J12+L12</x:f>
        <x:v>5900040</x:v>
      </x:c>
      <x:c r="N12" s="39" t="str">
        <x:v>Tiền mặt</x:v>
      </x:c>
      <x:c r="O12" s="39" t="str">
        <x:v>Đã thanh toán</x:v>
      </x:c>
      <x:c r="P12" s="40" t="str">
        <x:v>Đơn giá áp dụng cho toàn đơn vị</x:v>
      </x:c>
    </x:row>
    <x:row r="13">
      <x:c r="A13" s="45" t="n">
        <x:v>46120</x:v>
      </x:c>
      <x:c r="B13" s="39" t="str">
        <x:v>HDMH-MAU-008</x:v>
      </x:c>
      <x:c r="C13" s="39" t="str">
        <x:v>NCC-03</x:v>
      </x:c>
      <x:c r="D13" s="39" t="str">
        <x:v>Bao bì Xanh Hà Nội (mô phỏng)</x:v>
      </x:c>
      <x:c r="E13" s="39" t="str">
        <x:v>Bao bì</x:v>
      </x:c>
      <x:c r="F13" s="39" t="str">
        <x:v>Cốc, nắp và túi mang đi</x:v>
      </x:c>
      <x:c r="G13" s="39" t="str">
        <x:v>lô</x:v>
      </x:c>
      <x:c r="H13" s="48" t="n">
        <x:v>1</x:v>
      </x:c>
      <x:c r="I13" s="51" t="n">
        <x:v>2816000</x:v>
      </x:c>
      <x:c r="J13" s="51" t="n">
        <x:f>H13*I13</x:f>
        <x:v>2816000</x:v>
      </x:c>
      <x:c r="K13" s="54" t="n">
        <x:v>0.08</x:v>
      </x:c>
      <x:c r="L13" s="51" t="n">
        <x:f>J13*K13</x:f>
        <x:v>225280</x:v>
      </x:c>
      <x:c r="M13" s="51" t="n">
        <x:f>J13+L13</x:f>
        <x:v>3041280</x:v>
      </x:c>
      <x:c r="N13" s="39" t="str">
        <x:v>Chuyển khoản</x:v>
      </x:c>
      <x:c r="O13" s="39" t="str">
        <x:v>Đã thanh toán</x:v>
      </x:c>
      <x:c r="P13" s="40" t="str">
        <x:v>Đơn giá áp dụng cho toàn đơn vị</x:v>
      </x:c>
    </x:row>
    <x:row r="14">
      <x:c r="A14" s="45" t="n">
        <x:v>46120</x:v>
      </x:c>
      <x:c r="B14" s="39" t="str">
        <x:v>HDMH-MAU-009</x:v>
      </x:c>
      <x:c r="C14" s="39" t="str">
        <x:v>NCC-04</x:v>
      </x:c>
      <x:c r="D14" s="39" t="str">
        <x:v>Bếp bánh Ban Mai (mô phỏng)</x:v>
      </x:c>
      <x:c r="E14" s="39" t="str">
        <x:v>Bánh</x:v>
      </x:c>
      <x:c r="F14" s="39" t="str">
        <x:v>Bánh ngọt giao tuần</x:v>
      </x:c>
      <x:c r="G14" s="39" t="str">
        <x:v>lô</x:v>
      </x:c>
      <x:c r="H14" s="48" t="n">
        <x:v>1</x:v>
      </x:c>
      <x:c r="I14" s="51" t="n">
        <x:v>5005000</x:v>
      </x:c>
      <x:c r="J14" s="51" t="n">
        <x:f>H14*I14</x:f>
        <x:v>5005000</x:v>
      </x:c>
      <x:c r="K14" s="54" t="n">
        <x:v>0.08</x:v>
      </x:c>
      <x:c r="L14" s="51" t="n">
        <x:f>J14*K14</x:f>
        <x:v>400400</x:v>
      </x:c>
      <x:c r="M14" s="51" t="n">
        <x:f>J14+L14</x:f>
        <x:v>5405400</x:v>
      </x:c>
      <x:c r="N14" s="39" t="str">
        <x:v>Tiền mặt</x:v>
      </x:c>
      <x:c r="O14" s="39" t="str">
        <x:v>Đã thanh toán</x:v>
      </x:c>
      <x:c r="P14" s="40" t="str">
        <x:v>Đơn giá áp dụng cho toàn đơn vị</x:v>
      </x:c>
    </x:row>
    <x:row r="15">
      <x:c r="A15" s="45" t="n">
        <x:v>46120</x:v>
      </x:c>
      <x:c r="B15" s="39" t="str">
        <x:v>HDMH-MAU-010</x:v>
      </x:c>
      <x:c r="C15" s="39" t="str">
        <x:v>NCC-06</x:v>
      </x:c>
      <x:c r="D15" s="39" t="str">
        <x:v>Truyền thông Phố Cổ (mô phỏng)</x:v>
      </x:c>
      <x:c r="E15" s="39" t="str">
        <x:v>Marketing</x:v>
      </x:c>
      <x:c r="F15" s="39" t="str">
        <x:v>Quảng cáo mạng xã hội</x:v>
      </x:c>
      <x:c r="G15" s="39" t="str">
        <x:v>gói</x:v>
      </x:c>
      <x:c r="H15" s="48" t="n">
        <x:v>1</x:v>
      </x:c>
      <x:c r="I15" s="51" t="n">
        <x:v>2174000</x:v>
      </x:c>
      <x:c r="J15" s="51" t="n">
        <x:f>H15*I15</x:f>
        <x:v>2174000</x:v>
      </x:c>
      <x:c r="K15" s="54" t="n">
        <x:v>0.1</x:v>
      </x:c>
      <x:c r="L15" s="51" t="n">
        <x:f>J15*K15</x:f>
        <x:v>217400</x:v>
      </x:c>
      <x:c r="M15" s="51" t="n">
        <x:f>J15+L15</x:f>
        <x:v>2391400</x:v>
      </x:c>
      <x:c r="N15" s="39" t="str">
        <x:v>Chuyển khoản</x:v>
      </x:c>
      <x:c r="O15" s="39" t="str">
        <x:v>Đã thanh toán</x:v>
      </x:c>
      <x:c r="P15" s="40" t="str">
        <x:v>Đơn giá áp dụng cho toàn đơn vị</x:v>
      </x:c>
    </x:row>
    <x:row r="16">
      <x:c r="A16" s="45" t="n">
        <x:v>46122</x:v>
      </x:c>
      <x:c r="B16" s="39" t="str">
        <x:v>CP-LUONG-202604</x:v>
      </x:c>
      <x:c r="C16" s="39" t="str">
        <x:v>NV-DEMO</x:v>
      </x:c>
      <x:c r="D16" s="39" t="str">
        <x:v>Nhân sự quán (mô phỏng)</x:v>
      </x:c>
      <x:c r="E16" s="39" t="str">
        <x:v>Tiền lương</x:v>
      </x:c>
      <x:c r="F16" s="39" t="str">
        <x:v>Lương và phụ cấp tháng 04/2026</x:v>
      </x:c>
      <x:c r="G16" s="39" t="str">
        <x:v>tháng</x:v>
      </x:c>
      <x:c r="H16" s="48" t="n">
        <x:v>1</x:v>
      </x:c>
      <x:c r="I16" s="51" t="n">
        <x:v>62000000</x:v>
      </x:c>
      <x:c r="J16" s="51" t="n">
        <x:f>H16*I16</x:f>
        <x:v>62000000</x:v>
      </x:c>
      <x:c r="K16" s="54" t="n">
        <x:v>0</x:v>
      </x:c>
      <x:c r="L16" s="51" t="n">
        <x:f>J16*K16</x:f>
        <x:v>0</x:v>
      </x:c>
      <x:c r="M16" s="51" t="n">
        <x:f>J16+L16</x:f>
        <x:v>62000000</x:v>
      </x:c>
      <x:c r="N16" s="39" t="str">
        <x:v>Chuyển khoản</x:v>
      </x:c>
      <x:c r="O16" s="39" t="str">
        <x:v>Đã thanh toán</x:v>
      </x:c>
      <x:c r="P16" s="40" t="str">
        <x:v>Đơn giá áp dụng cho toàn đơn vị</x:v>
      </x:c>
    </x:row>
    <x:row r="17">
      <x:c r="A17" s="45" t="n">
        <x:v>46127</x:v>
      </x:c>
      <x:c r="B17" s="39" t="str">
        <x:v>CP-DIENNUOC-202604</x:v>
      </x:c>
      <x:c r="C17" s="39" t="str">
        <x:v>NCC-05</x:v>
      </x:c>
      <x:c r="D17" s="39" t="str">
        <x:v>Dịch vụ Vận hành Hồ Gươm (mô phỏng)</x:v>
      </x:c>
      <x:c r="E17" s="39" t="str">
        <x:v>Điện nước</x:v>
      </x:c>
      <x:c r="F17" s="39" t="str">
        <x:v>Điện, nước, internet tháng 04/2026</x:v>
      </x:c>
      <x:c r="G17" s="39" t="str">
        <x:v>tháng</x:v>
      </x:c>
      <x:c r="H17" s="48" t="n">
        <x:v>1</x:v>
      </x:c>
      <x:c r="I17" s="51" t="n">
        <x:v>13333000</x:v>
      </x:c>
      <x:c r="J17" s="51" t="n">
        <x:f>H17*I17</x:f>
        <x:v>13333000</x:v>
      </x:c>
      <x:c r="K17" s="54" t="n">
        <x:v>0.1</x:v>
      </x:c>
      <x:c r="L17" s="51" t="n">
        <x:f>J17*K17</x:f>
        <x:v>1333300</x:v>
      </x:c>
      <x:c r="M17" s="51" t="n">
        <x:f>J17+L17</x:f>
        <x:v>14666300</x:v>
      </x:c>
      <x:c r="N17" s="39" t="str">
        <x:v>Chuyển khoản</x:v>
      </x:c>
      <x:c r="O17" s="39" t="str">
        <x:v>Đã thanh toán</x:v>
      </x:c>
      <x:c r="P17" s="40" t="str">
        <x:v>Đơn giá áp dụng cho toàn đơn vị</x:v>
      </x:c>
    </x:row>
    <x:row r="18">
      <x:c r="A18" s="45" t="n">
        <x:v>46127</x:v>
      </x:c>
      <x:c r="B18" s="39" t="str">
        <x:v>HDMH-MAU-011</x:v>
      </x:c>
      <x:c r="C18" s="39" t="str">
        <x:v>NCC-01</x:v>
      </x:c>
      <x:c r="D18" s="39" t="str">
        <x:v>Nhà rang Hương Việt (mô phỏng)</x:v>
      </x:c>
      <x:c r="E18" s="39" t="str">
        <x:v>Cà phê hạt</x:v>
      </x:c>
      <x:c r="F18" s="39" t="str">
        <x:v>Cà phê hạt rang</x:v>
      </x:c>
      <x:c r="G18" s="39" t="str">
        <x:v>kg</x:v>
      </x:c>
      <x:c r="H18" s="48" t="n">
        <x:v>26</x:v>
      </x:c>
      <x:c r="I18" s="51" t="n">
        <x:v>278000</x:v>
      </x:c>
      <x:c r="J18" s="51" t="n">
        <x:f>H18*I18</x:f>
        <x:v>7228000</x:v>
      </x:c>
      <x:c r="K18" s="54" t="n">
        <x:v>0.08</x:v>
      </x:c>
      <x:c r="L18" s="51" t="n">
        <x:f>J18*K18</x:f>
        <x:v>578240</x:v>
      </x:c>
      <x:c r="M18" s="51" t="n">
        <x:f>J18+L18</x:f>
        <x:v>7806240</x:v>
      </x:c>
      <x:c r="N18" s="39" t="str">
        <x:v>Chuyển khoản</x:v>
      </x:c>
      <x:c r="O18" s="39" t="str">
        <x:v>Đã thanh toán</x:v>
      </x:c>
      <x:c r="P18" s="40" t="str"/>
    </x:row>
    <x:row r="19">
      <x:c r="A19" s="45" t="n">
        <x:v>46127</x:v>
      </x:c>
      <x:c r="B19" s="39" t="str">
        <x:v>HDMH-MAU-012</x:v>
      </x:c>
      <x:c r="C19" s="39" t="str">
        <x:v>NCC-02</x:v>
      </x:c>
      <x:c r="D19" s="39" t="str">
        <x:v>Sữa &amp; Nguyên liệu An Bình (mô phỏng)</x:v>
      </x:c>
      <x:c r="E19" s="39" t="str">
        <x:v>Sữa và nguyên liệu</x:v>
      </x:c>
      <x:c r="F19" s="39" t="str">
        <x:v>Sữa tươi và sữa đặc</x:v>
      </x:c>
      <x:c r="G19" s="39" t="str">
        <x:v>lô</x:v>
      </x:c>
      <x:c r="H19" s="48" t="n">
        <x:v>1</x:v>
      </x:c>
      <x:c r="I19" s="51" t="n">
        <x:v>5764000</x:v>
      </x:c>
      <x:c r="J19" s="51" t="n">
        <x:f>H19*I19</x:f>
        <x:v>5764000</x:v>
      </x:c>
      <x:c r="K19" s="54" t="n">
        <x:v>0.08</x:v>
      </x:c>
      <x:c r="L19" s="51" t="n">
        <x:f>J19*K19</x:f>
        <x:v>461120</x:v>
      </x:c>
      <x:c r="M19" s="51" t="n">
        <x:f>J19+L19</x:f>
        <x:v>6225120</x:v>
      </x:c>
      <x:c r="N19" s="39" t="str">
        <x:v>Tiền mặt</x:v>
      </x:c>
      <x:c r="O19" s="39" t="str">
        <x:v>Đã thanh toán</x:v>
      </x:c>
      <x:c r="P19" s="40" t="str">
        <x:v>Đơn giá áp dụng cho toàn đơn vị</x:v>
      </x:c>
    </x:row>
    <x:row r="20">
      <x:c r="A20" s="45" t="n">
        <x:v>46127</x:v>
      </x:c>
      <x:c r="B20" s="39" t="str">
        <x:v>HDMH-MAU-013</x:v>
      </x:c>
      <x:c r="C20" s="39" t="str">
        <x:v>NCC-03</x:v>
      </x:c>
      <x:c r="D20" s="39" t="str">
        <x:v>Bao bì Xanh Hà Nội (mô phỏng)</x:v>
      </x:c>
      <x:c r="E20" s="39" t="str">
        <x:v>Bao bì</x:v>
      </x:c>
      <x:c r="F20" s="39" t="str">
        <x:v>Cốc, nắp và túi mang đi</x:v>
      </x:c>
      <x:c r="G20" s="39" t="str">
        <x:v>lô</x:v>
      </x:c>
      <x:c r="H20" s="48" t="n">
        <x:v>1</x:v>
      </x:c>
      <x:c r="I20" s="51" t="n">
        <x:v>2923000</x:v>
      </x:c>
      <x:c r="J20" s="51" t="n">
        <x:f>H20*I20</x:f>
        <x:v>2923000</x:v>
      </x:c>
      <x:c r="K20" s="54" t="n">
        <x:v>0.08</x:v>
      </x:c>
      <x:c r="L20" s="51" t="n">
        <x:f>J20*K20</x:f>
        <x:v>233840</x:v>
      </x:c>
      <x:c r="M20" s="51" t="n">
        <x:f>J20+L20</x:f>
        <x:v>3156840</x:v>
      </x:c>
      <x:c r="N20" s="39" t="str">
        <x:v>Chuyển khoản</x:v>
      </x:c>
      <x:c r="O20" s="39" t="str">
        <x:v>Đã thanh toán</x:v>
      </x:c>
      <x:c r="P20" s="40" t="str">
        <x:v>Đơn giá áp dụng cho toàn đơn vị</x:v>
      </x:c>
    </x:row>
    <x:row r="21">
      <x:c r="A21" s="45" t="n">
        <x:v>46127</x:v>
      </x:c>
      <x:c r="B21" s="39" t="str">
        <x:v>HDMH-MAU-014</x:v>
      </x:c>
      <x:c r="C21" s="39" t="str">
        <x:v>NCC-04</x:v>
      </x:c>
      <x:c r="D21" s="39" t="str">
        <x:v>Bếp bánh Ban Mai (mô phỏng)</x:v>
      </x:c>
      <x:c r="E21" s="39" t="str">
        <x:v>Bánh</x:v>
      </x:c>
      <x:c r="F21" s="39" t="str">
        <x:v>Bánh ngọt giao tuần</x:v>
      </x:c>
      <x:c r="G21" s="39" t="str">
        <x:v>lô</x:v>
      </x:c>
      <x:c r="H21" s="48" t="n">
        <x:v>1</x:v>
      </x:c>
      <x:c r="I21" s="51" t="n">
        <x:v>4785000</x:v>
      </x:c>
      <x:c r="J21" s="51" t="n">
        <x:f>H21*I21</x:f>
        <x:v>4785000</x:v>
      </x:c>
      <x:c r="K21" s="54" t="n">
        <x:v>0.08</x:v>
      </x:c>
      <x:c r="L21" s="51" t="n">
        <x:f>J21*K21</x:f>
        <x:v>382800</x:v>
      </x:c>
      <x:c r="M21" s="51" t="n">
        <x:f>J21+L21</x:f>
        <x:v>5167800</x:v>
      </x:c>
      <x:c r="N21" s="39" t="str">
        <x:v>Tiền mặt</x:v>
      </x:c>
      <x:c r="O21" s="39" t="str">
        <x:v>Đã thanh toán</x:v>
      </x:c>
      <x:c r="P21" s="40" t="str">
        <x:v>Đơn giá áp dụng cho toàn đơn vị</x:v>
      </x:c>
    </x:row>
    <x:row r="22">
      <x:c r="A22" s="45" t="n">
        <x:v>46127</x:v>
      </x:c>
      <x:c r="B22" s="39" t="str">
        <x:v>HDMH-MAU-015</x:v>
      </x:c>
      <x:c r="C22" s="39" t="str">
        <x:v>NCC-06</x:v>
      </x:c>
      <x:c r="D22" s="39" t="str">
        <x:v>Truyền thông Phố Cổ (mô phỏng)</x:v>
      </x:c>
      <x:c r="E22" s="39" t="str">
        <x:v>Marketing</x:v>
      </x:c>
      <x:c r="F22" s="39" t="str">
        <x:v>Quảng cáo mạng xã hội</x:v>
      </x:c>
      <x:c r="G22" s="39" t="str">
        <x:v>gói</x:v>
      </x:c>
      <x:c r="H22" s="48" t="n">
        <x:v>1</x:v>
      </x:c>
      <x:c r="I22" s="51" t="n">
        <x:v>2183000</x:v>
      </x:c>
      <x:c r="J22" s="51" t="n">
        <x:f>H22*I22</x:f>
        <x:v>2183000</x:v>
      </x:c>
      <x:c r="K22" s="54" t="n">
        <x:v>0.1</x:v>
      </x:c>
      <x:c r="L22" s="51" t="n">
        <x:f>J22*K22</x:f>
        <x:v>218300</x:v>
      </x:c>
      <x:c r="M22" s="51" t="n">
        <x:f>J22+L22</x:f>
        <x:v>2401300</x:v>
      </x:c>
      <x:c r="N22" s="39" t="str">
        <x:v>Chuyển khoản</x:v>
      </x:c>
      <x:c r="O22" s="39" t="str">
        <x:v>Đã thanh toán</x:v>
      </x:c>
      <x:c r="P22" s="40" t="str">
        <x:v>Đơn giá áp dụng cho toàn đơn vị</x:v>
      </x:c>
    </x:row>
    <x:row r="23">
      <x:c r="A23" s="45" t="n">
        <x:v>46132</x:v>
      </x:c>
      <x:c r="B23" s="39" t="str">
        <x:v>CP-PHANMEM-202604</x:v>
      </x:c>
      <x:c r="C23" s="39" t="str">
        <x:v>NCC-POS</x:v>
      </x:c>
      <x:c r="D23" s="39" t="str">
        <x:v>Nền tảng POS (mô phỏng)</x:v>
      </x:c>
      <x:c r="E23" s="39" t="str">
        <x:v>Phần mềm</x:v>
      </x:c>
      <x:c r="F23" s="39" t="str">
        <x:v>POS và phần mềm tháng 04/2026</x:v>
      </x:c>
      <x:c r="G23" s="39" t="str">
        <x:v>tháng</x:v>
      </x:c>
      <x:c r="H23" s="48" t="n">
        <x:v>1</x:v>
      </x:c>
      <x:c r="I23" s="51" t="n">
        <x:v>1800000</x:v>
      </x:c>
      <x:c r="J23" s="51" t="n">
        <x:f>H23*I23</x:f>
        <x:v>1800000</x:v>
      </x:c>
      <x:c r="K23" s="54" t="n">
        <x:v>0.1</x:v>
      </x:c>
      <x:c r="L23" s="51" t="n">
        <x:f>J23*K23</x:f>
        <x:v>180000</x:v>
      </x:c>
      <x:c r="M23" s="51" t="n">
        <x:f>J23+L23</x:f>
        <x:v>1980000</x:v>
      </x:c>
      <x:c r="N23" s="39" t="str">
        <x:v>Chuyển khoản</x:v>
      </x:c>
      <x:c r="O23" s="39" t="str">
        <x:v>Đã thanh toán</x:v>
      </x:c>
      <x:c r="P23" s="40" t="str">
        <x:v>Đơn giá áp dụng cho toàn đơn vị</x:v>
      </x:c>
    </x:row>
    <x:row r="24">
      <x:c r="A24" s="45" t="n">
        <x:v>46134</x:v>
      </x:c>
      <x:c r="B24" s="39" t="str">
        <x:v>HDMH-MAU-016</x:v>
      </x:c>
      <x:c r="C24" s="39" t="str">
        <x:v>NCC-01</x:v>
      </x:c>
      <x:c r="D24" s="39" t="str">
        <x:v>Nhà rang Hương Việt (mô phỏng)</x:v>
      </x:c>
      <x:c r="E24" s="39" t="str">
        <x:v>Cà phê hạt</x:v>
      </x:c>
      <x:c r="F24" s="39" t="str">
        <x:v>Cà phê hạt rang</x:v>
      </x:c>
      <x:c r="G24" s="39" t="str">
        <x:v>kg</x:v>
      </x:c>
      <x:c r="H24" s="48" t="n">
        <x:v>24</x:v>
      </x:c>
      <x:c r="I24" s="51" t="n">
        <x:v>289000</x:v>
      </x:c>
      <x:c r="J24" s="51" t="n">
        <x:f>H24*I24</x:f>
        <x:v>6936000</x:v>
      </x:c>
      <x:c r="K24" s="54" t="n">
        <x:v>0.08</x:v>
      </x:c>
      <x:c r="L24" s="51" t="n">
        <x:f>J24*K24</x:f>
        <x:v>554880</x:v>
      </x:c>
      <x:c r="M24" s="51" t="n">
        <x:f>J24+L24</x:f>
        <x:v>7490880</x:v>
      </x:c>
      <x:c r="N24" s="39" t="str">
        <x:v>Chuyển khoản</x:v>
      </x:c>
      <x:c r="O24" s="39" t="str">
        <x:v>Đã thanh toán</x:v>
      </x:c>
      <x:c r="P24" s="40" t="str"/>
    </x:row>
    <x:row r="25">
      <x:c r="A25" s="45" t="n">
        <x:v>46134</x:v>
      </x:c>
      <x:c r="B25" s="39" t="str">
        <x:v>HDMH-MAU-017</x:v>
      </x:c>
      <x:c r="C25" s="39" t="str">
        <x:v>NCC-02</x:v>
      </x:c>
      <x:c r="D25" s="39" t="str">
        <x:v>Sữa &amp; Nguyên liệu An Bình (mô phỏng)</x:v>
      </x:c>
      <x:c r="E25" s="39" t="str">
        <x:v>Sữa và nguyên liệu</x:v>
      </x:c>
      <x:c r="F25" s="39" t="str">
        <x:v>Sữa tươi và sữa đặc</x:v>
      </x:c>
      <x:c r="G25" s="39" t="str">
        <x:v>lô</x:v>
      </x:c>
      <x:c r="H25" s="48" t="n">
        <x:v>1</x:v>
      </x:c>
      <x:c r="I25" s="51" t="n">
        <x:v>5577000</x:v>
      </x:c>
      <x:c r="J25" s="51" t="n">
        <x:f>H25*I25</x:f>
        <x:v>5577000</x:v>
      </x:c>
      <x:c r="K25" s="54" t="n">
        <x:v>0.08</x:v>
      </x:c>
      <x:c r="L25" s="51" t="n">
        <x:f>J25*K25</x:f>
        <x:v>446160</x:v>
      </x:c>
      <x:c r="M25" s="51" t="n">
        <x:f>J25+L25</x:f>
        <x:v>6023160</x:v>
      </x:c>
      <x:c r="N25" s="39" t="str">
        <x:v>Tiền mặt</x:v>
      </x:c>
      <x:c r="O25" s="39" t="str">
        <x:v>Đã thanh toán</x:v>
      </x:c>
      <x:c r="P25" s="40" t="str">
        <x:v>Đơn giá áp dụng cho toàn đơn vị</x:v>
      </x:c>
    </x:row>
    <x:row r="26">
      <x:c r="A26" s="45" t="n">
        <x:v>46134</x:v>
      </x:c>
      <x:c r="B26" s="39" t="str">
        <x:v>HDMH-MAU-018</x:v>
      </x:c>
      <x:c r="C26" s="39" t="str">
        <x:v>NCC-03</x:v>
      </x:c>
      <x:c r="D26" s="39" t="str">
        <x:v>Bao bì Xanh Hà Nội (mô phỏng)</x:v>
      </x:c>
      <x:c r="E26" s="39" t="str">
        <x:v>Bao bì</x:v>
      </x:c>
      <x:c r="F26" s="39" t="str">
        <x:v>Cốc, nắp và túi mang đi</x:v>
      </x:c>
      <x:c r="G26" s="39" t="str">
        <x:v>lô</x:v>
      </x:c>
      <x:c r="H26" s="48" t="n">
        <x:v>1</x:v>
      </x:c>
      <x:c r="I26" s="51" t="n">
        <x:v>2929000</x:v>
      </x:c>
      <x:c r="J26" s="51" t="n">
        <x:f>H26*I26</x:f>
        <x:v>2929000</x:v>
      </x:c>
      <x:c r="K26" s="54" t="n">
        <x:v>0.08</x:v>
      </x:c>
      <x:c r="L26" s="51" t="n">
        <x:f>J26*K26</x:f>
        <x:v>234320</x:v>
      </x:c>
      <x:c r="M26" s="51" t="n">
        <x:f>J26+L26</x:f>
        <x:v>3163320</x:v>
      </x:c>
      <x:c r="N26" s="39" t="str">
        <x:v>Chuyển khoản</x:v>
      </x:c>
      <x:c r="O26" s="39" t="str">
        <x:v>Đã thanh toán</x:v>
      </x:c>
      <x:c r="P26" s="40" t="str">
        <x:v>Đơn giá áp dụng cho toàn đơn vị</x:v>
      </x:c>
    </x:row>
    <x:row r="27">
      <x:c r="A27" s="45" t="n">
        <x:v>46134</x:v>
      </x:c>
      <x:c r="B27" s="39" t="str">
        <x:v>HDMH-MAU-019</x:v>
      </x:c>
      <x:c r="C27" s="39" t="str">
        <x:v>NCC-04</x:v>
      </x:c>
      <x:c r="D27" s="39" t="str">
        <x:v>Bếp bánh Ban Mai (mô phỏng)</x:v>
      </x:c>
      <x:c r="E27" s="39" t="str">
        <x:v>Bánh</x:v>
      </x:c>
      <x:c r="F27" s="39" t="str">
        <x:v>Bánh ngọt giao tuần</x:v>
      </x:c>
      <x:c r="G27" s="39" t="str">
        <x:v>lô</x:v>
      </x:c>
      <x:c r="H27" s="48" t="n">
        <x:v>1</x:v>
      </x:c>
      <x:c r="I27" s="51" t="n">
        <x:v>4796000</x:v>
      </x:c>
      <x:c r="J27" s="51" t="n">
        <x:f>H27*I27</x:f>
        <x:v>4796000</x:v>
      </x:c>
      <x:c r="K27" s="54" t="n">
        <x:v>0.08</x:v>
      </x:c>
      <x:c r="L27" s="51" t="n">
        <x:f>J27*K27</x:f>
        <x:v>383680</x:v>
      </x:c>
      <x:c r="M27" s="51" t="n">
        <x:f>J27+L27</x:f>
        <x:v>5179680</x:v>
      </x:c>
      <x:c r="N27" s="39" t="str">
        <x:v>Tiền mặt</x:v>
      </x:c>
      <x:c r="O27" s="39" t="str">
        <x:v>Đã thanh toán</x:v>
      </x:c>
      <x:c r="P27" s="40" t="str">
        <x:v>Đơn giá áp dụng cho toàn đơn vị</x:v>
      </x:c>
    </x:row>
    <x:row r="28">
      <x:c r="A28" s="45" t="n">
        <x:v>46134</x:v>
      </x:c>
      <x:c r="B28" s="39" t="str">
        <x:v>HDMH-MAU-020</x:v>
      </x:c>
      <x:c r="C28" s="39" t="str">
        <x:v>NCC-06</x:v>
      </x:c>
      <x:c r="D28" s="39" t="str">
        <x:v>Truyền thông Phố Cổ (mô phỏng)</x:v>
      </x:c>
      <x:c r="E28" s="39" t="str">
        <x:v>Marketing</x:v>
      </x:c>
      <x:c r="F28" s="39" t="str">
        <x:v>Quảng cáo mạng xã hội</x:v>
      </x:c>
      <x:c r="G28" s="39" t="str">
        <x:v>gói</x:v>
      </x:c>
      <x:c r="H28" s="48" t="n">
        <x:v>1</x:v>
      </x:c>
      <x:c r="I28" s="51" t="n">
        <x:v>2225000</x:v>
      </x:c>
      <x:c r="J28" s="51" t="n">
        <x:f>H28*I28</x:f>
        <x:v>2225000</x:v>
      </x:c>
      <x:c r="K28" s="54" t="n">
        <x:v>0.1</x:v>
      </x:c>
      <x:c r="L28" s="51" t="n">
        <x:f>J28*K28</x:f>
        <x:v>222500</x:v>
      </x:c>
      <x:c r="M28" s="51" t="n">
        <x:f>J28+L28</x:f>
        <x:v>2447500</x:v>
      </x:c>
      <x:c r="N28" s="39" t="str">
        <x:v>Chuyển khoản</x:v>
      </x:c>
      <x:c r="O28" s="39" t="str">
        <x:v>Đã thanh toán</x:v>
      </x:c>
      <x:c r="P28" s="40" t="str">
        <x:v>Đơn giá áp dụng cho toàn đơn vị</x:v>
      </x:c>
    </x:row>
    <x:row r="29">
      <x:c r="A29" s="45" t="n">
        <x:v>46141</x:v>
      </x:c>
      <x:c r="B29" s="39" t="str">
        <x:v>HDMH-MAU-021</x:v>
      </x:c>
      <x:c r="C29" s="39" t="str">
        <x:v>NCC-01</x:v>
      </x:c>
      <x:c r="D29" s="39" t="str">
        <x:v>Nhà rang Hương Việt (mô phỏng)</x:v>
      </x:c>
      <x:c r="E29" s="39" t="str">
        <x:v>Cà phê hạt</x:v>
      </x:c>
      <x:c r="F29" s="39" t="str">
        <x:v>Cà phê hạt rang</x:v>
      </x:c>
      <x:c r="G29" s="39" t="str">
        <x:v>kg</x:v>
      </x:c>
      <x:c r="H29" s="48" t="n">
        <x:v>27</x:v>
      </x:c>
      <x:c r="I29" s="51" t="n">
        <x:v>284000</x:v>
      </x:c>
      <x:c r="J29" s="51" t="n">
        <x:f>H29*I29</x:f>
        <x:v>7668000</x:v>
      </x:c>
      <x:c r="K29" s="54" t="n">
        <x:v>0.08</x:v>
      </x:c>
      <x:c r="L29" s="51" t="n">
        <x:f>J29*K29</x:f>
        <x:v>613440</x:v>
      </x:c>
      <x:c r="M29" s="51" t="n">
        <x:f>J29+L29</x:f>
        <x:v>8281440</x:v>
      </x:c>
      <x:c r="N29" s="39" t="str">
        <x:v>Chuyển khoản</x:v>
      </x:c>
      <x:c r="O29" s="39" t="str">
        <x:v>Đã thanh toán</x:v>
      </x:c>
      <x:c r="P29" s="40" t="str"/>
    </x:row>
    <x:row r="30">
      <x:c r="A30" s="45" t="n">
        <x:v>46141</x:v>
      </x:c>
      <x:c r="B30" s="39" t="str">
        <x:v>HDMH-MAU-022</x:v>
      </x:c>
      <x:c r="C30" s="39" t="str">
        <x:v>NCC-02</x:v>
      </x:c>
      <x:c r="D30" s="39" t="str">
        <x:v>Sữa &amp; Nguyên liệu An Bình (mô phỏng)</x:v>
      </x:c>
      <x:c r="E30" s="39" t="str">
        <x:v>Sữa và nguyên liệu</x:v>
      </x:c>
      <x:c r="F30" s="39" t="str">
        <x:v>Sữa tươi và sữa đặc</x:v>
      </x:c>
      <x:c r="G30" s="39" t="str">
        <x:v>lô</x:v>
      </x:c>
      <x:c r="H30" s="48" t="n">
        <x:v>1</x:v>
      </x:c>
      <x:c r="I30" s="51" t="n">
        <x:v>5437000</x:v>
      </x:c>
      <x:c r="J30" s="51" t="n">
        <x:f>H30*I30</x:f>
        <x:v>5437000</x:v>
      </x:c>
      <x:c r="K30" s="54" t="n">
        <x:v>0.08</x:v>
      </x:c>
      <x:c r="L30" s="51" t="n">
        <x:f>J30*K30</x:f>
        <x:v>434960</x:v>
      </x:c>
      <x:c r="M30" s="51" t="n">
        <x:f>J30+L30</x:f>
        <x:v>5871960</x:v>
      </x:c>
      <x:c r="N30" s="39" t="str">
        <x:v>Tiền mặt</x:v>
      </x:c>
      <x:c r="O30" s="39" t="str">
        <x:v>Đã thanh toán</x:v>
      </x:c>
      <x:c r="P30" s="40" t="str">
        <x:v>Đơn giá áp dụng cho toàn đơn vị</x:v>
      </x:c>
    </x:row>
    <x:row r="31">
      <x:c r="A31" s="45" t="n">
        <x:v>46141</x:v>
      </x:c>
      <x:c r="B31" s="39" t="str">
        <x:v>HDMH-MAU-023</x:v>
      </x:c>
      <x:c r="C31" s="39" t="str">
        <x:v>NCC-03</x:v>
      </x:c>
      <x:c r="D31" s="39" t="str">
        <x:v>Bao bì Xanh Hà Nội (mô phỏng)</x:v>
      </x:c>
      <x:c r="E31" s="39" t="str">
        <x:v>Bao bì</x:v>
      </x:c>
      <x:c r="F31" s="39" t="str">
        <x:v>Cốc, nắp và túi mang đi</x:v>
      </x:c>
      <x:c r="G31" s="39" t="str">
        <x:v>lô</x:v>
      </x:c>
      <x:c r="H31" s="48" t="n">
        <x:v>1</x:v>
      </x:c>
      <x:c r="I31" s="51" t="n">
        <x:v>2941000</x:v>
      </x:c>
      <x:c r="J31" s="51" t="n">
        <x:f>H31*I31</x:f>
        <x:v>2941000</x:v>
      </x:c>
      <x:c r="K31" s="54" t="n">
        <x:v>0.08</x:v>
      </x:c>
      <x:c r="L31" s="51" t="n">
        <x:f>J31*K31</x:f>
        <x:v>235280</x:v>
      </x:c>
      <x:c r="M31" s="51" t="n">
        <x:f>J31+L31</x:f>
        <x:v>3176280</x:v>
      </x:c>
      <x:c r="N31" s="39" t="str">
        <x:v>Chuyển khoản</x:v>
      </x:c>
      <x:c r="O31" s="39" t="str">
        <x:v>Đã thanh toán</x:v>
      </x:c>
      <x:c r="P31" s="40" t="str">
        <x:v>Đơn giá áp dụng cho toàn đơn vị</x:v>
      </x:c>
    </x:row>
    <x:row r="32">
      <x:c r="A32" s="45" t="n">
        <x:v>46141</x:v>
      </x:c>
      <x:c r="B32" s="39" t="str">
        <x:v>HDMH-MAU-024</x:v>
      </x:c>
      <x:c r="C32" s="39" t="str">
        <x:v>NCC-04</x:v>
      </x:c>
      <x:c r="D32" s="39" t="str">
        <x:v>Bếp bánh Ban Mai (mô phỏng)</x:v>
      </x:c>
      <x:c r="E32" s="39" t="str">
        <x:v>Bánh</x:v>
      </x:c>
      <x:c r="F32" s="39" t="str">
        <x:v>Bánh ngọt giao tuần</x:v>
      </x:c>
      <x:c r="G32" s="39" t="str">
        <x:v>lô</x:v>
      </x:c>
      <x:c r="H32" s="48" t="n">
        <x:v>1</x:v>
      </x:c>
      <x:c r="I32" s="51" t="n">
        <x:v>4882000</x:v>
      </x:c>
      <x:c r="J32" s="51" t="n">
        <x:f>H32*I32</x:f>
        <x:v>4882000</x:v>
      </x:c>
      <x:c r="K32" s="54" t="n">
        <x:v>0.08</x:v>
      </x:c>
      <x:c r="L32" s="51" t="n">
        <x:f>J32*K32</x:f>
        <x:v>390560</x:v>
      </x:c>
      <x:c r="M32" s="51" t="n">
        <x:f>J32+L32</x:f>
        <x:v>5272560</x:v>
      </x:c>
      <x:c r="N32" s="39" t="str">
        <x:v>Tiền mặt</x:v>
      </x:c>
      <x:c r="O32" s="39" t="str">
        <x:v>Đã thanh toán</x:v>
      </x:c>
      <x:c r="P32" s="40" t="str">
        <x:v>Đơn giá áp dụng cho toàn đơn vị</x:v>
      </x:c>
    </x:row>
    <x:row r="33">
      <x:c r="A33" s="45" t="n">
        <x:v>46141</x:v>
      </x:c>
      <x:c r="B33" s="39" t="str">
        <x:v>HDMH-MAU-025</x:v>
      </x:c>
      <x:c r="C33" s="39" t="str">
        <x:v>NCC-06</x:v>
      </x:c>
      <x:c r="D33" s="39" t="str">
        <x:v>Truyền thông Phố Cổ (mô phỏng)</x:v>
      </x:c>
      <x:c r="E33" s="39" t="str">
        <x:v>Marketing</x:v>
      </x:c>
      <x:c r="F33" s="39" t="str">
        <x:v>Quảng cáo mạng xã hội</x:v>
      </x:c>
      <x:c r="G33" s="39" t="str">
        <x:v>gói</x:v>
      </x:c>
      <x:c r="H33" s="48" t="n">
        <x:v>1</x:v>
      </x:c>
      <x:c r="I33" s="51" t="n">
        <x:v>2182000</x:v>
      </x:c>
      <x:c r="J33" s="51" t="n">
        <x:f>H33*I33</x:f>
        <x:v>2182000</x:v>
      </x:c>
      <x:c r="K33" s="54" t="n">
        <x:v>0.1</x:v>
      </x:c>
      <x:c r="L33" s="51" t="n">
        <x:f>J33*K33</x:f>
        <x:v>218200</x:v>
      </x:c>
      <x:c r="M33" s="51" t="n">
        <x:f>J33+L33</x:f>
        <x:v>2400200</x:v>
      </x:c>
      <x:c r="N33" s="39" t="str">
        <x:v>Chuyển khoản</x:v>
      </x:c>
      <x:c r="O33" s="39" t="str">
        <x:v>Đã thanh toán</x:v>
      </x:c>
      <x:c r="P33" s="40" t="str">
        <x:v>Đơn giá áp dụng cho toàn đơn vị</x:v>
      </x:c>
    </x:row>
    <x:row r="34">
      <x:c r="A34" s="45" t="n">
        <x:v>46144</x:v>
      </x:c>
      <x:c r="B34" s="39" t="str">
        <x:v>CP-THUE-202605</x:v>
      </x:c>
      <x:c r="C34" s="39" t="str">
        <x:v>NCC-MATBANG</x:v>
      </x:c>
      <x:c r="D34" s="39" t="str">
        <x:v>Chủ mặt bằng (mô phỏng)</x:v>
      </x:c>
      <x:c r="E34" s="39" t="str">
        <x:v>Tiền thuê</x:v>
      </x:c>
      <x:c r="F34" s="39" t="str">
        <x:v>Tiền thuê mặt bằng tháng 05/2026</x:v>
      </x:c>
      <x:c r="G34" s="39" t="str">
        <x:v>tháng</x:v>
      </x:c>
      <x:c r="H34" s="48" t="n">
        <x:v>1</x:v>
      </x:c>
      <x:c r="I34" s="51" t="n">
        <x:v>70000000</x:v>
      </x:c>
      <x:c r="J34" s="51" t="n">
        <x:f>H34*I34</x:f>
        <x:v>70000000</x:v>
      </x:c>
      <x:c r="K34" s="54" t="n">
        <x:v>0</x:v>
      </x:c>
      <x:c r="L34" s="51" t="n">
        <x:f>J34*K34</x:f>
        <x:v>0</x:v>
      </x:c>
      <x:c r="M34" s="51" t="n">
        <x:f>J34+L34</x:f>
        <x:v>70000000</x:v>
      </x:c>
      <x:c r="N34" s="39" t="str">
        <x:v>Chuyển khoản</x:v>
      </x:c>
      <x:c r="O34" s="39" t="str">
        <x:v>Đã thanh toán</x:v>
      </x:c>
      <x:c r="P34" s="40" t="str">
        <x:v>Đơn giá áp dụng cho toàn đơn vị</x:v>
      </x:c>
    </x:row>
    <x:row r="35">
      <x:c r="A35" s="45" t="n">
        <x:v>46148</x:v>
      </x:c>
      <x:c r="B35" s="39" t="str">
        <x:v>HDMH-MAU-026</x:v>
      </x:c>
      <x:c r="C35" s="39" t="str">
        <x:v>NCC-01</x:v>
      </x:c>
      <x:c r="D35" s="39" t="str">
        <x:v>Nhà rang Hương Việt (mô phỏng)</x:v>
      </x:c>
      <x:c r="E35" s="39" t="str">
        <x:v>Cà phê hạt</x:v>
      </x:c>
      <x:c r="F35" s="39" t="str">
        <x:v>Cà phê hạt rang</x:v>
      </x:c>
      <x:c r="G35" s="39" t="str">
        <x:v>kg</x:v>
      </x:c>
      <x:c r="H35" s="48" t="n">
        <x:v>25</x:v>
      </x:c>
      <x:c r="I35" s="51" t="n">
        <x:v>284000</x:v>
      </x:c>
      <x:c r="J35" s="51" t="n">
        <x:f>H35*I35</x:f>
        <x:v>7100000</x:v>
      </x:c>
      <x:c r="K35" s="54" t="n">
        <x:v>0.08</x:v>
      </x:c>
      <x:c r="L35" s="51" t="n">
        <x:f>J35*K35</x:f>
        <x:v>568000</x:v>
      </x:c>
      <x:c r="M35" s="51" t="n">
        <x:f>J35+L35</x:f>
        <x:v>7668000</x:v>
      </x:c>
      <x:c r="N35" s="39" t="str">
        <x:v>Chuyển khoản</x:v>
      </x:c>
      <x:c r="O35" s="39" t="str">
        <x:v>Đã thanh toán</x:v>
      </x:c>
      <x:c r="P35" s="40" t="str"/>
    </x:row>
    <x:row r="36">
      <x:c r="A36" s="45" t="n">
        <x:v>46148</x:v>
      </x:c>
      <x:c r="B36" s="39" t="str">
        <x:v>HDMH-MAU-027</x:v>
      </x:c>
      <x:c r="C36" s="39" t="str">
        <x:v>NCC-02</x:v>
      </x:c>
      <x:c r="D36" s="39" t="str">
        <x:v>Sữa &amp; Nguyên liệu An Bình (mô phỏng)</x:v>
      </x:c>
      <x:c r="E36" s="39" t="str">
        <x:v>Sữa và nguyên liệu</x:v>
      </x:c>
      <x:c r="F36" s="39" t="str">
        <x:v>Sữa tươi và sữa đặc</x:v>
      </x:c>
      <x:c r="G36" s="39" t="str">
        <x:v>lô</x:v>
      </x:c>
      <x:c r="H36" s="48" t="n">
        <x:v>1</x:v>
      </x:c>
      <x:c r="I36" s="51" t="n">
        <x:v>5567000</x:v>
      </x:c>
      <x:c r="J36" s="51" t="n">
        <x:f>H36*I36</x:f>
        <x:v>5567000</x:v>
      </x:c>
      <x:c r="K36" s="54" t="n">
        <x:v>0.08</x:v>
      </x:c>
      <x:c r="L36" s="51" t="n">
        <x:f>J36*K36</x:f>
        <x:v>445360</x:v>
      </x:c>
      <x:c r="M36" s="51" t="n">
        <x:f>J36+L36</x:f>
        <x:v>6012360</x:v>
      </x:c>
      <x:c r="N36" s="39" t="str">
        <x:v>Tiền mặt</x:v>
      </x:c>
      <x:c r="O36" s="39" t="str">
        <x:v>Đã thanh toán</x:v>
      </x:c>
      <x:c r="P36" s="40" t="str">
        <x:v>Đơn giá áp dụng cho toàn đơn vị</x:v>
      </x:c>
    </x:row>
    <x:row r="37">
      <x:c r="A37" s="45" t="n">
        <x:v>46148</x:v>
      </x:c>
      <x:c r="B37" s="39" t="str">
        <x:v>HDMH-MAU-028</x:v>
      </x:c>
      <x:c r="C37" s="39" t="str">
        <x:v>NCC-03</x:v>
      </x:c>
      <x:c r="D37" s="39" t="str">
        <x:v>Bao bì Xanh Hà Nội (mô phỏng)</x:v>
      </x:c>
      <x:c r="E37" s="39" t="str">
        <x:v>Bao bì</x:v>
      </x:c>
      <x:c r="F37" s="39" t="str">
        <x:v>Cốc, nắp và túi mang đi</x:v>
      </x:c>
      <x:c r="G37" s="39" t="str">
        <x:v>lô</x:v>
      </x:c>
      <x:c r="H37" s="48" t="n">
        <x:v>1</x:v>
      </x:c>
      <x:c r="I37" s="51" t="n">
        <x:v>2846000</x:v>
      </x:c>
      <x:c r="J37" s="51" t="n">
        <x:f>H37*I37</x:f>
        <x:v>2846000</x:v>
      </x:c>
      <x:c r="K37" s="54" t="n">
        <x:v>0.08</x:v>
      </x:c>
      <x:c r="L37" s="51" t="n">
        <x:f>J37*K37</x:f>
        <x:v>227680</x:v>
      </x:c>
      <x:c r="M37" s="51" t="n">
        <x:f>J37+L37</x:f>
        <x:v>3073680</x:v>
      </x:c>
      <x:c r="N37" s="39" t="str">
        <x:v>Chuyển khoản</x:v>
      </x:c>
      <x:c r="O37" s="39" t="str">
        <x:v>Đã thanh toán</x:v>
      </x:c>
      <x:c r="P37" s="40" t="str">
        <x:v>Đơn giá áp dụng cho toàn đơn vị</x:v>
      </x:c>
    </x:row>
    <x:row r="38">
      <x:c r="A38" s="45" t="n">
        <x:v>46148</x:v>
      </x:c>
      <x:c r="B38" s="39" t="str">
        <x:v>HDMH-MAU-029</x:v>
      </x:c>
      <x:c r="C38" s="39" t="str">
        <x:v>NCC-04</x:v>
      </x:c>
      <x:c r="D38" s="39" t="str">
        <x:v>Bếp bánh Ban Mai (mô phỏng)</x:v>
      </x:c>
      <x:c r="E38" s="39" t="str">
        <x:v>Bánh</x:v>
      </x:c>
      <x:c r="F38" s="39" t="str">
        <x:v>Bánh ngọt giao tuần</x:v>
      </x:c>
      <x:c r="G38" s="39" t="str">
        <x:v>lô</x:v>
      </x:c>
      <x:c r="H38" s="48" t="n">
        <x:v>1</x:v>
      </x:c>
      <x:c r="I38" s="51" t="n">
        <x:v>4825000</x:v>
      </x:c>
      <x:c r="J38" s="51" t="n">
        <x:f>H38*I38</x:f>
        <x:v>4825000</x:v>
      </x:c>
      <x:c r="K38" s="54" t="n">
        <x:v>0.08</x:v>
      </x:c>
      <x:c r="L38" s="51" t="n">
        <x:f>J38*K38</x:f>
        <x:v>386000</x:v>
      </x:c>
      <x:c r="M38" s="51" t="n">
        <x:f>J38+L38</x:f>
        <x:v>5211000</x:v>
      </x:c>
      <x:c r="N38" s="39" t="str">
        <x:v>Tiền mặt</x:v>
      </x:c>
      <x:c r="O38" s="39" t="str">
        <x:v>Đã thanh toán</x:v>
      </x:c>
      <x:c r="P38" s="40" t="str">
        <x:v>Đơn giá áp dụng cho toàn đơn vị</x:v>
      </x:c>
    </x:row>
    <x:row r="39">
      <x:c r="A39" s="45" t="n">
        <x:v>46148</x:v>
      </x:c>
      <x:c r="B39" s="39" t="str">
        <x:v>HDMH-MAU-030</x:v>
      </x:c>
      <x:c r="C39" s="39" t="str">
        <x:v>NCC-06</x:v>
      </x:c>
      <x:c r="D39" s="39" t="str">
        <x:v>Truyền thông Phố Cổ (mô phỏng)</x:v>
      </x:c>
      <x:c r="E39" s="39" t="str">
        <x:v>Marketing</x:v>
      </x:c>
      <x:c r="F39" s="39" t="str">
        <x:v>Quảng cáo mạng xã hội</x:v>
      </x:c>
      <x:c r="G39" s="39" t="str">
        <x:v>gói</x:v>
      </x:c>
      <x:c r="H39" s="48" t="n">
        <x:v>1</x:v>
      </x:c>
      <x:c r="I39" s="51" t="n">
        <x:v>2260000</x:v>
      </x:c>
      <x:c r="J39" s="51" t="n">
        <x:f>H39*I39</x:f>
        <x:v>2260000</x:v>
      </x:c>
      <x:c r="K39" s="54" t="n">
        <x:v>0.1</x:v>
      </x:c>
      <x:c r="L39" s="51" t="n">
        <x:f>J39*K39</x:f>
        <x:v>226000</x:v>
      </x:c>
      <x:c r="M39" s="51" t="n">
        <x:f>J39+L39</x:f>
        <x:v>2486000</x:v>
      </x:c>
      <x:c r="N39" s="39" t="str">
        <x:v>Chuyển khoản</x:v>
      </x:c>
      <x:c r="O39" s="39" t="str">
        <x:v>Đã thanh toán</x:v>
      </x:c>
      <x:c r="P39" s="40" t="str">
        <x:v>Đơn giá áp dụng cho toàn đơn vị</x:v>
      </x:c>
    </x:row>
    <x:row r="40">
      <x:c r="A40" s="45" t="n">
        <x:v>46152</x:v>
      </x:c>
      <x:c r="B40" s="39" t="str">
        <x:v>CP-LUONG-202605</x:v>
      </x:c>
      <x:c r="C40" s="39" t="str">
        <x:v>NV-DEMO</x:v>
      </x:c>
      <x:c r="D40" s="39" t="str">
        <x:v>Nhân sự quán (mô phỏng)</x:v>
      </x:c>
      <x:c r="E40" s="39" t="str">
        <x:v>Tiền lương</x:v>
      </x:c>
      <x:c r="F40" s="39" t="str">
        <x:v>Lương và phụ cấp tháng 05/2026</x:v>
      </x:c>
      <x:c r="G40" s="39" t="str">
        <x:v>tháng</x:v>
      </x:c>
      <x:c r="H40" s="48" t="n">
        <x:v>1</x:v>
      </x:c>
      <x:c r="I40" s="51" t="n">
        <x:v>62000000</x:v>
      </x:c>
      <x:c r="J40" s="51" t="n">
        <x:f>H40*I40</x:f>
        <x:v>62000000</x:v>
      </x:c>
      <x:c r="K40" s="54" t="n">
        <x:v>0</x:v>
      </x:c>
      <x:c r="L40" s="51" t="n">
        <x:f>J40*K40</x:f>
        <x:v>0</x:v>
      </x:c>
      <x:c r="M40" s="51" t="n">
        <x:f>J40+L40</x:f>
        <x:v>62000000</x:v>
      </x:c>
      <x:c r="N40" s="39" t="str">
        <x:v>Chuyển khoản</x:v>
      </x:c>
      <x:c r="O40" s="39" t="str">
        <x:v>Đã thanh toán</x:v>
      </x:c>
      <x:c r="P40" s="40" t="str">
        <x:v>Đơn giá áp dụng cho toàn đơn vị</x:v>
      </x:c>
    </x:row>
    <x:row r="41">
      <x:c r="A41" s="45" t="n">
        <x:v>46155</x:v>
      </x:c>
      <x:c r="B41" s="39" t="str">
        <x:v>HDMH-MAU-031</x:v>
      </x:c>
      <x:c r="C41" s="39" t="str">
        <x:v>NCC-01</x:v>
      </x:c>
      <x:c r="D41" s="39" t="str">
        <x:v>Nhà rang Hương Việt (mô phỏng)</x:v>
      </x:c>
      <x:c r="E41" s="39" t="str">
        <x:v>Cà phê hạt</x:v>
      </x:c>
      <x:c r="F41" s="39" t="str">
        <x:v>Cà phê hạt rang</x:v>
      </x:c>
      <x:c r="G41" s="39" t="str">
        <x:v>kg</x:v>
      </x:c>
      <x:c r="H41" s="48" t="n">
        <x:v>26</x:v>
      </x:c>
      <x:c r="I41" s="51" t="n">
        <x:v>293000</x:v>
      </x:c>
      <x:c r="J41" s="51" t="n">
        <x:f>H41*I41</x:f>
        <x:v>7618000</x:v>
      </x:c>
      <x:c r="K41" s="54" t="n">
        <x:v>0.08</x:v>
      </x:c>
      <x:c r="L41" s="51" t="n">
        <x:f>J41*K41</x:f>
        <x:v>609440</x:v>
      </x:c>
      <x:c r="M41" s="51" t="n">
        <x:f>J41+L41</x:f>
        <x:v>8227440</x:v>
      </x:c>
      <x:c r="N41" s="39" t="str">
        <x:v>Chuyển khoản</x:v>
      </x:c>
      <x:c r="O41" s="39" t="str">
        <x:v>Đã thanh toán</x:v>
      </x:c>
      <x:c r="P41" s="40" t="str"/>
    </x:row>
    <x:row r="42">
      <x:c r="A42" s="45" t="n">
        <x:v>46155</x:v>
      </x:c>
      <x:c r="B42" s="39" t="str">
        <x:v>HDMH-MAU-032</x:v>
      </x:c>
      <x:c r="C42" s="39" t="str">
        <x:v>NCC-02</x:v>
      </x:c>
      <x:c r="D42" s="39" t="str">
        <x:v>Sữa &amp; Nguyên liệu An Bình (mô phỏng)</x:v>
      </x:c>
      <x:c r="E42" s="39" t="str">
        <x:v>Sữa và nguyên liệu</x:v>
      </x:c>
      <x:c r="F42" s="39" t="str">
        <x:v>Sữa tươi và sữa đặc</x:v>
      </x:c>
      <x:c r="G42" s="39" t="str">
        <x:v>lô</x:v>
      </x:c>
      <x:c r="H42" s="48" t="n">
        <x:v>1</x:v>
      </x:c>
      <x:c r="I42" s="51" t="n">
        <x:v>5750000</x:v>
      </x:c>
      <x:c r="J42" s="51" t="n">
        <x:f>H42*I42</x:f>
        <x:v>5750000</x:v>
      </x:c>
      <x:c r="K42" s="54" t="n">
        <x:v>0.08</x:v>
      </x:c>
      <x:c r="L42" s="51" t="n">
        <x:f>J42*K42</x:f>
        <x:v>460000</x:v>
      </x:c>
      <x:c r="M42" s="51" t="n">
        <x:f>J42+L42</x:f>
        <x:v>6210000</x:v>
      </x:c>
      <x:c r="N42" s="39" t="str">
        <x:v>Tiền mặt</x:v>
      </x:c>
      <x:c r="O42" s="39" t="str">
        <x:v>Đã thanh toán</x:v>
      </x:c>
      <x:c r="P42" s="40" t="str">
        <x:v>Đơn giá áp dụng cho toàn đơn vị</x:v>
      </x:c>
    </x:row>
    <x:row r="43">
      <x:c r="A43" s="45" t="n">
        <x:v>46155</x:v>
      </x:c>
      <x:c r="B43" s="39" t="str">
        <x:v>HDMH-MAU-033</x:v>
      </x:c>
      <x:c r="C43" s="39" t="str">
        <x:v>NCC-03</x:v>
      </x:c>
      <x:c r="D43" s="39" t="str">
        <x:v>Bao bì Xanh Hà Nội (mô phỏng)</x:v>
      </x:c>
      <x:c r="E43" s="39" t="str">
        <x:v>Bao bì</x:v>
      </x:c>
      <x:c r="F43" s="39" t="str">
        <x:v>Cốc, nắp và túi mang đi</x:v>
      </x:c>
      <x:c r="G43" s="39" t="str">
        <x:v>lô</x:v>
      </x:c>
      <x:c r="H43" s="48" t="n">
        <x:v>1</x:v>
      </x:c>
      <x:c r="I43" s="51" t="n">
        <x:v>2867000</x:v>
      </x:c>
      <x:c r="J43" s="51" t="n">
        <x:f>H43*I43</x:f>
        <x:v>2867000</x:v>
      </x:c>
      <x:c r="K43" s="54" t="n">
        <x:v>0.08</x:v>
      </x:c>
      <x:c r="L43" s="51" t="n">
        <x:f>J43*K43</x:f>
        <x:v>229360</x:v>
      </x:c>
      <x:c r="M43" s="51" t="n">
        <x:f>J43+L43</x:f>
        <x:v>3096360</x:v>
      </x:c>
      <x:c r="N43" s="39" t="str">
        <x:v>Chuyển khoản</x:v>
      </x:c>
      <x:c r="O43" s="39" t="str">
        <x:v>Đã thanh toán</x:v>
      </x:c>
      <x:c r="P43" s="40" t="str">
        <x:v>Đơn giá áp dụng cho toàn đơn vị</x:v>
      </x:c>
    </x:row>
    <x:row r="44">
      <x:c r="A44" s="45" t="n">
        <x:v>46155</x:v>
      </x:c>
      <x:c r="B44" s="39" t="str">
        <x:v>HDMH-MAU-034</x:v>
      </x:c>
      <x:c r="C44" s="39" t="str">
        <x:v>NCC-04</x:v>
      </x:c>
      <x:c r="D44" s="39" t="str">
        <x:v>Bếp bánh Ban Mai (mô phỏng)</x:v>
      </x:c>
      <x:c r="E44" s="39" t="str">
        <x:v>Bánh</x:v>
      </x:c>
      <x:c r="F44" s="39" t="str">
        <x:v>Bánh ngọt giao tuần</x:v>
      </x:c>
      <x:c r="G44" s="39" t="str">
        <x:v>lô</x:v>
      </x:c>
      <x:c r="H44" s="48" t="n">
        <x:v>1</x:v>
      </x:c>
      <x:c r="I44" s="51" t="n">
        <x:v>5005000</x:v>
      </x:c>
      <x:c r="J44" s="51" t="n">
        <x:f>H44*I44</x:f>
        <x:v>5005000</x:v>
      </x:c>
      <x:c r="K44" s="54" t="n">
        <x:v>0.08</x:v>
      </x:c>
      <x:c r="L44" s="51" t="n">
        <x:f>J44*K44</x:f>
        <x:v>400400</x:v>
      </x:c>
      <x:c r="M44" s="51" t="n">
        <x:f>J44+L44</x:f>
        <x:v>5405400</x:v>
      </x:c>
      <x:c r="N44" s="39" t="str">
        <x:v>Tiền mặt</x:v>
      </x:c>
      <x:c r="O44" s="39" t="str">
        <x:v>Đã thanh toán</x:v>
      </x:c>
      <x:c r="P44" s="40" t="str">
        <x:v>Đơn giá áp dụng cho toàn đơn vị</x:v>
      </x:c>
    </x:row>
    <x:row r="45">
      <x:c r="A45" s="45" t="n">
        <x:v>46155</x:v>
      </x:c>
      <x:c r="B45" s="39" t="str">
        <x:v>HDMH-MAU-035</x:v>
      </x:c>
      <x:c r="C45" s="39" t="str">
        <x:v>NCC-06</x:v>
      </x:c>
      <x:c r="D45" s="39" t="str">
        <x:v>Truyền thông Phố Cổ (mô phỏng)</x:v>
      </x:c>
      <x:c r="E45" s="39" t="str">
        <x:v>Marketing</x:v>
      </x:c>
      <x:c r="F45" s="39" t="str">
        <x:v>Quảng cáo mạng xã hội</x:v>
      </x:c>
      <x:c r="G45" s="39" t="str">
        <x:v>gói</x:v>
      </x:c>
      <x:c r="H45" s="48" t="n">
        <x:v>1</x:v>
      </x:c>
      <x:c r="I45" s="51" t="n">
        <x:v>2197000</x:v>
      </x:c>
      <x:c r="J45" s="51" t="n">
        <x:f>H45*I45</x:f>
        <x:v>2197000</x:v>
      </x:c>
      <x:c r="K45" s="54" t="n">
        <x:v>0.1</x:v>
      </x:c>
      <x:c r="L45" s="51" t="n">
        <x:f>J45*K45</x:f>
        <x:v>219700</x:v>
      </x:c>
      <x:c r="M45" s="51" t="n">
        <x:f>J45+L45</x:f>
        <x:v>2416700</x:v>
      </x:c>
      <x:c r="N45" s="39" t="str">
        <x:v>Chuyển khoản</x:v>
      </x:c>
      <x:c r="O45" s="39" t="str">
        <x:v>Đã thanh toán</x:v>
      </x:c>
      <x:c r="P45" s="40" t="str">
        <x:v>Đơn giá áp dụng cho toàn đơn vị</x:v>
      </x:c>
    </x:row>
    <x:row r="46">
      <x:c r="A46" s="45" t="n">
        <x:v>46157</x:v>
      </x:c>
      <x:c r="B46" s="39" t="str">
        <x:v>CP-DIENNUOC-202605</x:v>
      </x:c>
      <x:c r="C46" s="39" t="str">
        <x:v>NCC-05</x:v>
      </x:c>
      <x:c r="D46" s="39" t="str">
        <x:v>Dịch vụ Vận hành Hồ Gươm (mô phỏng)</x:v>
      </x:c>
      <x:c r="E46" s="39" t="str">
        <x:v>Điện nước</x:v>
      </x:c>
      <x:c r="F46" s="39" t="str">
        <x:v>Điện, nước, internet tháng 05/2026</x:v>
      </x:c>
      <x:c r="G46" s="39" t="str">
        <x:v>tháng</x:v>
      </x:c>
      <x:c r="H46" s="48" t="n">
        <x:v>1</x:v>
      </x:c>
      <x:c r="I46" s="51" t="n">
        <x:v>13012000</x:v>
      </x:c>
      <x:c r="J46" s="51" t="n">
        <x:f>H46*I46</x:f>
        <x:v>13012000</x:v>
      </x:c>
      <x:c r="K46" s="54" t="n">
        <x:v>0.1</x:v>
      </x:c>
      <x:c r="L46" s="51" t="n">
        <x:f>J46*K46</x:f>
        <x:v>1301200</x:v>
      </x:c>
      <x:c r="M46" s="51" t="n">
        <x:f>J46+L46</x:f>
        <x:v>14313200</x:v>
      </x:c>
      <x:c r="N46" s="39" t="str">
        <x:v>Chuyển khoản</x:v>
      </x:c>
      <x:c r="O46" s="39" t="str">
        <x:v>Đã thanh toán</x:v>
      </x:c>
      <x:c r="P46" s="40" t="str">
        <x:v>Đơn giá áp dụng cho toàn đơn vị</x:v>
      </x:c>
    </x:row>
    <x:row r="47">
      <x:c r="A47" s="45" t="n">
        <x:v>46162</x:v>
      </x:c>
      <x:c r="B47" s="39" t="str">
        <x:v>CP-PHANMEM-202605</x:v>
      </x:c>
      <x:c r="C47" s="39" t="str">
        <x:v>NCC-POS</x:v>
      </x:c>
      <x:c r="D47" s="39" t="str">
        <x:v>Nền tảng POS (mô phỏng)</x:v>
      </x:c>
      <x:c r="E47" s="39" t="str">
        <x:v>Phần mềm</x:v>
      </x:c>
      <x:c r="F47" s="39" t="str">
        <x:v>POS và phần mềm tháng 05/2026</x:v>
      </x:c>
      <x:c r="G47" s="39" t="str">
        <x:v>tháng</x:v>
      </x:c>
      <x:c r="H47" s="48" t="n">
        <x:v>1</x:v>
      </x:c>
      <x:c r="I47" s="51" t="n">
        <x:v>1800000</x:v>
      </x:c>
      <x:c r="J47" s="51" t="n">
        <x:f>H47*I47</x:f>
        <x:v>1800000</x:v>
      </x:c>
      <x:c r="K47" s="54" t="n">
        <x:v>0.1</x:v>
      </x:c>
      <x:c r="L47" s="51" t="n">
        <x:f>J47*K47</x:f>
        <x:v>180000</x:v>
      </x:c>
      <x:c r="M47" s="51" t="n">
        <x:f>J47+L47</x:f>
        <x:v>1980000</x:v>
      </x:c>
      <x:c r="N47" s="39" t="str">
        <x:v>Chuyển khoản</x:v>
      </x:c>
      <x:c r="O47" s="39" t="str">
        <x:v>Đã thanh toán</x:v>
      </x:c>
      <x:c r="P47" s="40" t="str">
        <x:v>Đơn giá áp dụng cho toàn đơn vị</x:v>
      </x:c>
    </x:row>
    <x:row r="48">
      <x:c r="A48" s="45" t="n">
        <x:v>46162</x:v>
      </x:c>
      <x:c r="B48" s="39" t="str">
        <x:v>HDMH-MAU-036</x:v>
      </x:c>
      <x:c r="C48" s="39" t="str">
        <x:v>NCC-01</x:v>
      </x:c>
      <x:c r="D48" s="39" t="str">
        <x:v>Nhà rang Hương Việt (mô phỏng)</x:v>
      </x:c>
      <x:c r="E48" s="39" t="str">
        <x:v>Cà phê hạt</x:v>
      </x:c>
      <x:c r="F48" s="39" t="str">
        <x:v>Cà phê hạt rang</x:v>
      </x:c>
      <x:c r="G48" s="39" t="str">
        <x:v>kg</x:v>
      </x:c>
      <x:c r="H48" s="48" t="n">
        <x:v>25</x:v>
      </x:c>
      <x:c r="I48" s="51" t="n">
        <x:v>292000</x:v>
      </x:c>
      <x:c r="J48" s="51" t="n">
        <x:f>H48*I48</x:f>
        <x:v>7300000</x:v>
      </x:c>
      <x:c r="K48" s="54" t="n">
        <x:v>0.08</x:v>
      </x:c>
      <x:c r="L48" s="51" t="n">
        <x:f>J48*K48</x:f>
        <x:v>584000</x:v>
      </x:c>
      <x:c r="M48" s="51" t="n">
        <x:f>J48+L48</x:f>
        <x:v>7884000</x:v>
      </x:c>
      <x:c r="N48" s="39" t="str">
        <x:v>Chuyển khoản</x:v>
      </x:c>
      <x:c r="O48" s="39" t="str">
        <x:v>Đã thanh toán</x:v>
      </x:c>
      <x:c r="P48" s="40" t="str"/>
    </x:row>
    <x:row r="49">
      <x:c r="A49" s="45" t="n">
        <x:v>46162</x:v>
      </x:c>
      <x:c r="B49" s="39" t="str">
        <x:v>HDMH-MAU-037</x:v>
      </x:c>
      <x:c r="C49" s="39" t="str">
        <x:v>NCC-02</x:v>
      </x:c>
      <x:c r="D49" s="39" t="str">
        <x:v>Sữa &amp; Nguyên liệu An Bình (mô phỏng)</x:v>
      </x:c>
      <x:c r="E49" s="39" t="str">
        <x:v>Sữa và nguyên liệu</x:v>
      </x:c>
      <x:c r="F49" s="39" t="str">
        <x:v>Sữa tươi và sữa đặc</x:v>
      </x:c>
      <x:c r="G49" s="39" t="str">
        <x:v>lô</x:v>
      </x:c>
      <x:c r="H49" s="48" t="n">
        <x:v>1</x:v>
      </x:c>
      <x:c r="I49" s="51" t="n">
        <x:v>5552000</x:v>
      </x:c>
      <x:c r="J49" s="51" t="n">
        <x:f>H49*I49</x:f>
        <x:v>5552000</x:v>
      </x:c>
      <x:c r="K49" s="54" t="n">
        <x:v>0.08</x:v>
      </x:c>
      <x:c r="L49" s="51" t="n">
        <x:f>J49*K49</x:f>
        <x:v>444160</x:v>
      </x:c>
      <x:c r="M49" s="51" t="n">
        <x:f>J49+L49</x:f>
        <x:v>5996160</x:v>
      </x:c>
      <x:c r="N49" s="39" t="str">
        <x:v>Tiền mặt</x:v>
      </x:c>
      <x:c r="O49" s="39" t="str">
        <x:v>Đã thanh toán</x:v>
      </x:c>
      <x:c r="P49" s="40" t="str">
        <x:v>Đơn giá áp dụng cho toàn đơn vị</x:v>
      </x:c>
    </x:row>
    <x:row r="50">
      <x:c r="A50" s="45" t="n">
        <x:v>46162</x:v>
      </x:c>
      <x:c r="B50" s="39" t="str">
        <x:v>HDMH-MAU-038</x:v>
      </x:c>
      <x:c r="C50" s="39" t="str">
        <x:v>NCC-03</x:v>
      </x:c>
      <x:c r="D50" s="39" t="str">
        <x:v>Bao bì Xanh Hà Nội (mô phỏng)</x:v>
      </x:c>
      <x:c r="E50" s="39" t="str">
        <x:v>Bao bì</x:v>
      </x:c>
      <x:c r="F50" s="39" t="str">
        <x:v>Cốc, nắp và túi mang đi</x:v>
      </x:c>
      <x:c r="G50" s="39" t="str">
        <x:v>lô</x:v>
      </x:c>
      <x:c r="H50" s="48" t="n">
        <x:v>1</x:v>
      </x:c>
      <x:c r="I50" s="51" t="n">
        <x:v>2868000</x:v>
      </x:c>
      <x:c r="J50" s="51" t="n">
        <x:f>H50*I50</x:f>
        <x:v>2868000</x:v>
      </x:c>
      <x:c r="K50" s="54" t="n">
        <x:v>0.08</x:v>
      </x:c>
      <x:c r="L50" s="51" t="n">
        <x:f>J50*K50</x:f>
        <x:v>229440</x:v>
      </x:c>
      <x:c r="M50" s="51" t="n">
        <x:f>J50+L50</x:f>
        <x:v>3097440</x:v>
      </x:c>
      <x:c r="N50" s="39" t="str">
        <x:v>Chuyển khoản</x:v>
      </x:c>
      <x:c r="O50" s="39" t="str">
        <x:v>Đã thanh toán</x:v>
      </x:c>
      <x:c r="P50" s="40" t="str">
        <x:v>Đơn giá áp dụng cho toàn đơn vị</x:v>
      </x:c>
    </x:row>
    <x:row r="51">
      <x:c r="A51" s="45" t="n">
        <x:v>46162</x:v>
      </x:c>
      <x:c r="B51" s="39" t="str">
        <x:v>HDMH-MAU-039</x:v>
      </x:c>
      <x:c r="C51" s="39" t="str">
        <x:v>NCC-04</x:v>
      </x:c>
      <x:c r="D51" s="39" t="str">
        <x:v>Bếp bánh Ban Mai (mô phỏng)</x:v>
      </x:c>
      <x:c r="E51" s="39" t="str">
        <x:v>Bánh</x:v>
      </x:c>
      <x:c r="F51" s="39" t="str">
        <x:v>Bánh ngọt giao tuần</x:v>
      </x:c>
      <x:c r="G51" s="39" t="str">
        <x:v>lô</x:v>
      </x:c>
      <x:c r="H51" s="48" t="n">
        <x:v>1</x:v>
      </x:c>
      <x:c r="I51" s="51" t="n">
        <x:v>4925000</x:v>
      </x:c>
      <x:c r="J51" s="51" t="n">
        <x:f>H51*I51</x:f>
        <x:v>4925000</x:v>
      </x:c>
      <x:c r="K51" s="54" t="n">
        <x:v>0.08</x:v>
      </x:c>
      <x:c r="L51" s="51" t="n">
        <x:f>J51*K51</x:f>
        <x:v>394000</x:v>
      </x:c>
      <x:c r="M51" s="51" t="n">
        <x:f>J51+L51</x:f>
        <x:v>5319000</x:v>
      </x:c>
      <x:c r="N51" s="39" t="str">
        <x:v>Tiền mặt</x:v>
      </x:c>
      <x:c r="O51" s="39" t="str">
        <x:v>Đã thanh toán</x:v>
      </x:c>
      <x:c r="P51" s="40" t="str">
        <x:v>Đơn giá áp dụng cho toàn đơn vị</x:v>
      </x:c>
    </x:row>
    <x:row r="52">
      <x:c r="A52" s="45" t="n">
        <x:v>46162</x:v>
      </x:c>
      <x:c r="B52" s="39" t="str">
        <x:v>HDMH-MAU-040</x:v>
      </x:c>
      <x:c r="C52" s="39" t="str">
        <x:v>NCC-06</x:v>
      </x:c>
      <x:c r="D52" s="39" t="str">
        <x:v>Truyền thông Phố Cổ (mô phỏng)</x:v>
      </x:c>
      <x:c r="E52" s="39" t="str">
        <x:v>Marketing</x:v>
      </x:c>
      <x:c r="F52" s="39" t="str">
        <x:v>Quảng cáo mạng xã hội</x:v>
      </x:c>
      <x:c r="G52" s="39" t="str">
        <x:v>gói</x:v>
      </x:c>
      <x:c r="H52" s="48" t="n">
        <x:v>1</x:v>
      </x:c>
      <x:c r="I52" s="51" t="n">
        <x:v>2159000</x:v>
      </x:c>
      <x:c r="J52" s="51" t="n">
        <x:f>H52*I52</x:f>
        <x:v>2159000</x:v>
      </x:c>
      <x:c r="K52" s="54" t="n">
        <x:v>0.1</x:v>
      </x:c>
      <x:c r="L52" s="51" t="n">
        <x:f>J52*K52</x:f>
        <x:v>215900</x:v>
      </x:c>
      <x:c r="M52" s="51" t="n">
        <x:f>J52+L52</x:f>
        <x:v>2374900</x:v>
      </x:c>
      <x:c r="N52" s="39" t="str">
        <x:v>Chuyển khoản</x:v>
      </x:c>
      <x:c r="O52" s="39" t="str">
        <x:v>Đã thanh toán</x:v>
      </x:c>
      <x:c r="P52" s="40" t="str">
        <x:v>Đơn giá áp dụng cho toàn đơn vị</x:v>
      </x:c>
    </x:row>
    <x:row r="53">
      <x:c r="A53" s="45" t="n">
        <x:v>46169</x:v>
      </x:c>
      <x:c r="B53" s="39" t="str">
        <x:v>HDMH-MAU-041</x:v>
      </x:c>
      <x:c r="C53" s="39" t="str">
        <x:v>NCC-01</x:v>
      </x:c>
      <x:c r="D53" s="39" t="str">
        <x:v>Nhà rang Hương Việt (mô phỏng)</x:v>
      </x:c>
      <x:c r="E53" s="39" t="str">
        <x:v>Cà phê hạt</x:v>
      </x:c>
      <x:c r="F53" s="39" t="str">
        <x:v>Cà phê hạt rang</x:v>
      </x:c>
      <x:c r="G53" s="39" t="str">
        <x:v>kg</x:v>
      </x:c>
      <x:c r="H53" s="48" t="n">
        <x:v>25</x:v>
      </x:c>
      <x:c r="I53" s="51" t="n">
        <x:v>284000</x:v>
      </x:c>
      <x:c r="J53" s="51" t="n">
        <x:f>H53*I53</x:f>
        <x:v>7100000</x:v>
      </x:c>
      <x:c r="K53" s="54" t="n">
        <x:v>0.08</x:v>
      </x:c>
      <x:c r="L53" s="51" t="n">
        <x:f>J53*K53</x:f>
        <x:v>568000</x:v>
      </x:c>
      <x:c r="M53" s="51" t="n">
        <x:f>J53+L53</x:f>
        <x:v>7668000</x:v>
      </x:c>
      <x:c r="N53" s="39" t="str">
        <x:v>Chuyển khoản</x:v>
      </x:c>
      <x:c r="O53" s="39" t="str">
        <x:v>Đã thanh toán</x:v>
      </x:c>
      <x:c r="P53" s="40" t="str"/>
    </x:row>
    <x:row r="54">
      <x:c r="A54" s="45" t="n">
        <x:v>46169</x:v>
      </x:c>
      <x:c r="B54" s="39" t="str">
        <x:v>HDMH-MAU-042</x:v>
      </x:c>
      <x:c r="C54" s="39" t="str">
        <x:v>NCC-02</x:v>
      </x:c>
      <x:c r="D54" s="39" t="str">
        <x:v>Sữa &amp; Nguyên liệu An Bình (mô phỏng)</x:v>
      </x:c>
      <x:c r="E54" s="39" t="str">
        <x:v>Sữa và nguyên liệu</x:v>
      </x:c>
      <x:c r="F54" s="39" t="str">
        <x:v>Sữa tươi và sữa đặc</x:v>
      </x:c>
      <x:c r="G54" s="39" t="str">
        <x:v>lô</x:v>
      </x:c>
      <x:c r="H54" s="48" t="n">
        <x:v>1</x:v>
      </x:c>
      <x:c r="I54" s="51" t="n">
        <x:v>5518000</x:v>
      </x:c>
      <x:c r="J54" s="51" t="n">
        <x:f>H54*I54</x:f>
        <x:v>5518000</x:v>
      </x:c>
      <x:c r="K54" s="54" t="n">
        <x:v>0.08</x:v>
      </x:c>
      <x:c r="L54" s="51" t="n">
        <x:f>J54*K54</x:f>
        <x:v>441440</x:v>
      </x:c>
      <x:c r="M54" s="51" t="n">
        <x:f>J54+L54</x:f>
        <x:v>5959440</x:v>
      </x:c>
      <x:c r="N54" s="39" t="str">
        <x:v>Tiền mặt</x:v>
      </x:c>
      <x:c r="O54" s="39" t="str">
        <x:v>Đã thanh toán</x:v>
      </x:c>
      <x:c r="P54" s="40" t="str">
        <x:v>Đơn giá áp dụng cho toàn đơn vị</x:v>
      </x:c>
    </x:row>
    <x:row r="55">
      <x:c r="A55" s="45" t="n">
        <x:v>46169</x:v>
      </x:c>
      <x:c r="B55" s="39" t="str">
        <x:v>HDMH-MAU-043</x:v>
      </x:c>
      <x:c r="C55" s="39" t="str">
        <x:v>NCC-03</x:v>
      </x:c>
      <x:c r="D55" s="39" t="str">
        <x:v>Bao bì Xanh Hà Nội (mô phỏng)</x:v>
      </x:c>
      <x:c r="E55" s="39" t="str">
        <x:v>Bao bì</x:v>
      </x:c>
      <x:c r="F55" s="39" t="str">
        <x:v>Cốc, nắp và túi mang đi</x:v>
      </x:c>
      <x:c r="G55" s="39" t="str">
        <x:v>lô</x:v>
      </x:c>
      <x:c r="H55" s="48" t="n">
        <x:v>1</x:v>
      </x:c>
      <x:c r="I55" s="51" t="n">
        <x:v>2882000</x:v>
      </x:c>
      <x:c r="J55" s="51" t="n">
        <x:f>H55*I55</x:f>
        <x:v>2882000</x:v>
      </x:c>
      <x:c r="K55" s="54" t="n">
        <x:v>0.08</x:v>
      </x:c>
      <x:c r="L55" s="51" t="n">
        <x:f>J55*K55</x:f>
        <x:v>230560</x:v>
      </x:c>
      <x:c r="M55" s="51" t="n">
        <x:f>J55+L55</x:f>
        <x:v>3112560</x:v>
      </x:c>
      <x:c r="N55" s="39" t="str">
        <x:v>Chuyển khoản</x:v>
      </x:c>
      <x:c r="O55" s="39" t="str">
        <x:v>Đã thanh toán</x:v>
      </x:c>
      <x:c r="P55" s="40" t="str">
        <x:v>Đơn giá áp dụng cho toàn đơn vị</x:v>
      </x:c>
    </x:row>
    <x:row r="56">
      <x:c r="A56" s="45" t="n">
        <x:v>46169</x:v>
      </x:c>
      <x:c r="B56" s="39" t="str">
        <x:v>HDMH-MAU-044</x:v>
      </x:c>
      <x:c r="C56" s="39" t="str">
        <x:v>NCC-04</x:v>
      </x:c>
      <x:c r="D56" s="39" t="str">
        <x:v>Bếp bánh Ban Mai (mô phỏng)</x:v>
      </x:c>
      <x:c r="E56" s="39" t="str">
        <x:v>Bánh</x:v>
      </x:c>
      <x:c r="F56" s="39" t="str">
        <x:v>Bánh ngọt giao tuần</x:v>
      </x:c>
      <x:c r="G56" s="39" t="str">
        <x:v>lô</x:v>
      </x:c>
      <x:c r="H56" s="48" t="n">
        <x:v>1</x:v>
      </x:c>
      <x:c r="I56" s="51" t="n">
        <x:v>4925000</x:v>
      </x:c>
      <x:c r="J56" s="51" t="n">
        <x:f>H56*I56</x:f>
        <x:v>4925000</x:v>
      </x:c>
      <x:c r="K56" s="54" t="n">
        <x:v>0.08</x:v>
      </x:c>
      <x:c r="L56" s="51" t="n">
        <x:f>J56*K56</x:f>
        <x:v>394000</x:v>
      </x:c>
      <x:c r="M56" s="51" t="n">
        <x:f>J56+L56</x:f>
        <x:v>5319000</x:v>
      </x:c>
      <x:c r="N56" s="39" t="str">
        <x:v>Tiền mặt</x:v>
      </x:c>
      <x:c r="O56" s="39" t="str">
        <x:v>Đã thanh toán</x:v>
      </x:c>
      <x:c r="P56" s="40" t="str">
        <x:v>Đơn giá áp dụng cho toàn đơn vị</x:v>
      </x:c>
    </x:row>
    <x:row r="57">
      <x:c r="A57" s="45" t="n">
        <x:v>46169</x:v>
      </x:c>
      <x:c r="B57" s="39" t="str">
        <x:v>HDMH-MAU-045</x:v>
      </x:c>
      <x:c r="C57" s="39" t="str">
        <x:v>NCC-06</x:v>
      </x:c>
      <x:c r="D57" s="39" t="str">
        <x:v>Truyền thông Phố Cổ (mô phỏng)</x:v>
      </x:c>
      <x:c r="E57" s="39" t="str">
        <x:v>Marketing</x:v>
      </x:c>
      <x:c r="F57" s="39" t="str">
        <x:v>Quảng cáo mạng xã hội</x:v>
      </x:c>
      <x:c r="G57" s="39" t="str">
        <x:v>gói</x:v>
      </x:c>
      <x:c r="H57" s="48" t="n">
        <x:v>1</x:v>
      </x:c>
      <x:c r="I57" s="51" t="n">
        <x:v>2213000</x:v>
      </x:c>
      <x:c r="J57" s="51" t="n">
        <x:f>H57*I57</x:f>
        <x:v>2213000</x:v>
      </x:c>
      <x:c r="K57" s="54" t="n">
        <x:v>0.1</x:v>
      </x:c>
      <x:c r="L57" s="51" t="n">
        <x:f>J57*K57</x:f>
        <x:v>221300</x:v>
      </x:c>
      <x:c r="M57" s="51" t="n">
        <x:f>J57+L57</x:f>
        <x:v>2434300</x:v>
      </x:c>
      <x:c r="N57" s="39" t="str">
        <x:v>Chuyển khoản</x:v>
      </x:c>
      <x:c r="O57" s="39" t="str">
        <x:v>Đã thanh toán</x:v>
      </x:c>
      <x:c r="P57" s="40" t="str">
        <x:v>Đơn giá áp dụng cho toàn đơn vị</x:v>
      </x:c>
    </x:row>
    <x:row r="58">
      <x:c r="A58" s="45" t="n">
        <x:v>46175</x:v>
      </x:c>
      <x:c r="B58" s="39" t="str">
        <x:v>CP-THUE-202606</x:v>
      </x:c>
      <x:c r="C58" s="39" t="str">
        <x:v>NCC-MATBANG</x:v>
      </x:c>
      <x:c r="D58" s="39" t="str">
        <x:v>Chủ mặt bằng (mô phỏng)</x:v>
      </x:c>
      <x:c r="E58" s="39" t="str">
        <x:v>Tiền thuê</x:v>
      </x:c>
      <x:c r="F58" s="39" t="str">
        <x:v>Tiền thuê mặt bằng tháng 06/2026</x:v>
      </x:c>
      <x:c r="G58" s="39" t="str">
        <x:v>tháng</x:v>
      </x:c>
      <x:c r="H58" s="48" t="n">
        <x:v>1</x:v>
      </x:c>
      <x:c r="I58" s="51" t="n">
        <x:v>70000000</x:v>
      </x:c>
      <x:c r="J58" s="51" t="n">
        <x:f>H58*I58</x:f>
        <x:v>70000000</x:v>
      </x:c>
      <x:c r="K58" s="54" t="n">
        <x:v>0</x:v>
      </x:c>
      <x:c r="L58" s="51" t="n">
        <x:f>J58*K58</x:f>
        <x:v>0</x:v>
      </x:c>
      <x:c r="M58" s="51" t="n">
        <x:f>J58+L58</x:f>
        <x:v>70000000</x:v>
      </x:c>
      <x:c r="N58" s="39" t="str">
        <x:v>Chuyển khoản</x:v>
      </x:c>
      <x:c r="O58" s="39" t="str">
        <x:v>Đã thanh toán</x:v>
      </x:c>
      <x:c r="P58" s="40" t="str">
        <x:v>Đơn giá áp dụng cho toàn đơn vị</x:v>
      </x:c>
    </x:row>
    <x:row r="59">
      <x:c r="A59" s="45" t="n">
        <x:v>46176</x:v>
      </x:c>
      <x:c r="B59" s="39" t="str">
        <x:v>HDMH-MAU-046</x:v>
      </x:c>
      <x:c r="C59" s="39" t="str">
        <x:v>NCC-01</x:v>
      </x:c>
      <x:c r="D59" s="39" t="str">
        <x:v>Nhà rang Hương Việt (mô phỏng)</x:v>
      </x:c>
      <x:c r="E59" s="39" t="str">
        <x:v>Cà phê hạt</x:v>
      </x:c>
      <x:c r="F59" s="39" t="str">
        <x:v>Cà phê hạt rang</x:v>
      </x:c>
      <x:c r="G59" s="39" t="str">
        <x:v>kg</x:v>
      </x:c>
      <x:c r="H59" s="48" t="n">
        <x:v>24</x:v>
      </x:c>
      <x:c r="I59" s="51" t="n">
        <x:v>289000</x:v>
      </x:c>
      <x:c r="J59" s="51" t="n">
        <x:f>H59*I59</x:f>
        <x:v>6936000</x:v>
      </x:c>
      <x:c r="K59" s="54" t="n">
        <x:v>0.08</x:v>
      </x:c>
      <x:c r="L59" s="51" t="n">
        <x:f>J59*K59</x:f>
        <x:v>554880</x:v>
      </x:c>
      <x:c r="M59" s="51" t="n">
        <x:f>J59+L59</x:f>
        <x:v>7490880</x:v>
      </x:c>
      <x:c r="N59" s="39" t="str">
        <x:v>Chuyển khoản</x:v>
      </x:c>
      <x:c r="O59" s="39" t="str">
        <x:v>Đã thanh toán</x:v>
      </x:c>
      <x:c r="P59" s="40" t="str"/>
    </x:row>
    <x:row r="60">
      <x:c r="A60" s="45" t="n">
        <x:v>46176</x:v>
      </x:c>
      <x:c r="B60" s="39" t="str">
        <x:v>HDMH-MAU-047</x:v>
      </x:c>
      <x:c r="C60" s="39" t="str">
        <x:v>NCC-02</x:v>
      </x:c>
      <x:c r="D60" s="39" t="str">
        <x:v>Sữa &amp; Nguyên liệu An Bình (mô phỏng)</x:v>
      </x:c>
      <x:c r="E60" s="39" t="str">
        <x:v>Sữa và nguyên liệu</x:v>
      </x:c>
      <x:c r="F60" s="39" t="str">
        <x:v>Sữa tươi và sữa đặc</x:v>
      </x:c>
      <x:c r="G60" s="39" t="str">
        <x:v>lô</x:v>
      </x:c>
      <x:c r="H60" s="48" t="n">
        <x:v>1</x:v>
      </x:c>
      <x:c r="I60" s="51" t="n">
        <x:v>5548000</x:v>
      </x:c>
      <x:c r="J60" s="51" t="n">
        <x:f>H60*I60</x:f>
        <x:v>5548000</x:v>
      </x:c>
      <x:c r="K60" s="54" t="n">
        <x:v>0.08</x:v>
      </x:c>
      <x:c r="L60" s="51" t="n">
        <x:f>J60*K60</x:f>
        <x:v>443840</x:v>
      </x:c>
      <x:c r="M60" s="51" t="n">
        <x:f>J60+L60</x:f>
        <x:v>5991840</x:v>
      </x:c>
      <x:c r="N60" s="39" t="str">
        <x:v>Tiền mặt</x:v>
      </x:c>
      <x:c r="O60" s="39" t="str">
        <x:v>Đã thanh toán</x:v>
      </x:c>
      <x:c r="P60" s="40" t="str">
        <x:v>Đơn giá áp dụng cho toàn đơn vị</x:v>
      </x:c>
    </x:row>
    <x:row r="61">
      <x:c r="A61" s="45" t="n">
        <x:v>46176</x:v>
      </x:c>
      <x:c r="B61" s="39" t="str">
        <x:v>HDMH-MAU-048</x:v>
      </x:c>
      <x:c r="C61" s="39" t="str">
        <x:v>NCC-03</x:v>
      </x:c>
      <x:c r="D61" s="39" t="str">
        <x:v>Bao bì Xanh Hà Nội (mô phỏng)</x:v>
      </x:c>
      <x:c r="E61" s="39" t="str">
        <x:v>Bao bì</x:v>
      </x:c>
      <x:c r="F61" s="39" t="str">
        <x:v>Cốc, nắp và túi mang đi</x:v>
      </x:c>
      <x:c r="G61" s="39" t="str">
        <x:v>lô</x:v>
      </x:c>
      <x:c r="H61" s="48" t="n">
        <x:v>1</x:v>
      </x:c>
      <x:c r="I61" s="51" t="n">
        <x:v>2891000</x:v>
      </x:c>
      <x:c r="J61" s="51" t="n">
        <x:f>H61*I61</x:f>
        <x:v>2891000</x:v>
      </x:c>
      <x:c r="K61" s="54" t="n">
        <x:v>0.08</x:v>
      </x:c>
      <x:c r="L61" s="51" t="n">
        <x:f>J61*K61</x:f>
        <x:v>231280</x:v>
      </x:c>
      <x:c r="M61" s="51" t="n">
        <x:f>J61+L61</x:f>
        <x:v>3122280</x:v>
      </x:c>
      <x:c r="N61" s="39" t="str">
        <x:v>Chuyển khoản</x:v>
      </x:c>
      <x:c r="O61" s="39" t="str">
        <x:v>Đã thanh toán</x:v>
      </x:c>
      <x:c r="P61" s="40" t="str">
        <x:v>Đơn giá áp dụng cho toàn đơn vị</x:v>
      </x:c>
    </x:row>
    <x:row r="62">
      <x:c r="A62" s="45" t="n">
        <x:v>46176</x:v>
      </x:c>
      <x:c r="B62" s="39" t="str">
        <x:v>HDMH-MAU-049</x:v>
      </x:c>
      <x:c r="C62" s="39" t="str">
        <x:v>NCC-04</x:v>
      </x:c>
      <x:c r="D62" s="39" t="str">
        <x:v>Bếp bánh Ban Mai (mô phỏng)</x:v>
      </x:c>
      <x:c r="E62" s="39" t="str">
        <x:v>Bánh</x:v>
      </x:c>
      <x:c r="F62" s="39" t="str">
        <x:v>Bánh ngọt giao tuần</x:v>
      </x:c>
      <x:c r="G62" s="39" t="str">
        <x:v>lô</x:v>
      </x:c>
      <x:c r="H62" s="48" t="n">
        <x:v>1</x:v>
      </x:c>
      <x:c r="I62" s="51" t="n">
        <x:v>4790000</x:v>
      </x:c>
      <x:c r="J62" s="51" t="n">
        <x:f>H62*I62</x:f>
        <x:v>4790000</x:v>
      </x:c>
      <x:c r="K62" s="54" t="n">
        <x:v>0.08</x:v>
      </x:c>
      <x:c r="L62" s="51" t="n">
        <x:f>J62*K62</x:f>
        <x:v>383200</x:v>
      </x:c>
      <x:c r="M62" s="51" t="n">
        <x:f>J62+L62</x:f>
        <x:v>5173200</x:v>
      </x:c>
      <x:c r="N62" s="39" t="str">
        <x:v>Tiền mặt</x:v>
      </x:c>
      <x:c r="O62" s="39" t="str">
        <x:v>Đã thanh toán</x:v>
      </x:c>
      <x:c r="P62" s="40" t="str">
        <x:v>Đơn giá áp dụng cho toàn đơn vị</x:v>
      </x:c>
    </x:row>
    <x:row r="63">
      <x:c r="A63" s="45" t="n">
        <x:v>46176</x:v>
      </x:c>
      <x:c r="B63" s="39" t="str">
        <x:v>HDMH-MAU-050</x:v>
      </x:c>
      <x:c r="C63" s="39" t="str">
        <x:v>NCC-06</x:v>
      </x:c>
      <x:c r="D63" s="39" t="str">
        <x:v>Truyền thông Phố Cổ (mô phỏng)</x:v>
      </x:c>
      <x:c r="E63" s="39" t="str">
        <x:v>Marketing</x:v>
      </x:c>
      <x:c r="F63" s="39" t="str">
        <x:v>Quảng cáo mạng xã hội</x:v>
      </x:c>
      <x:c r="G63" s="39" t="str">
        <x:v>gói</x:v>
      </x:c>
      <x:c r="H63" s="48" t="n">
        <x:v>1</x:v>
      </x:c>
      <x:c r="I63" s="51" t="n">
        <x:v>2235000</x:v>
      </x:c>
      <x:c r="J63" s="51" t="n">
        <x:f>H63*I63</x:f>
        <x:v>2235000</x:v>
      </x:c>
      <x:c r="K63" s="54" t="n">
        <x:v>0.1</x:v>
      </x:c>
      <x:c r="L63" s="51" t="n">
        <x:f>J63*K63</x:f>
        <x:v>223500</x:v>
      </x:c>
      <x:c r="M63" s="51" t="n">
        <x:f>J63+L63</x:f>
        <x:v>2458500</x:v>
      </x:c>
      <x:c r="N63" s="39" t="str">
        <x:v>Chuyển khoản</x:v>
      </x:c>
      <x:c r="O63" s="39" t="str">
        <x:v>Đã thanh toán</x:v>
      </x:c>
      <x:c r="P63" s="40" t="str">
        <x:v>Đơn giá áp dụng cho toàn đơn vị</x:v>
      </x:c>
    </x:row>
    <x:row r="64">
      <x:c r="A64" s="45" t="n">
        <x:v>46183</x:v>
      </x:c>
      <x:c r="B64" s="39" t="str">
        <x:v>CP-LUONG-202606</x:v>
      </x:c>
      <x:c r="C64" s="39" t="str">
        <x:v>NV-DEMO</x:v>
      </x:c>
      <x:c r="D64" s="39" t="str">
        <x:v>Nhân sự quán (mô phỏng)</x:v>
      </x:c>
      <x:c r="E64" s="39" t="str">
        <x:v>Tiền lương</x:v>
      </x:c>
      <x:c r="F64" s="39" t="str">
        <x:v>Lương và phụ cấp tháng 06/2026</x:v>
      </x:c>
      <x:c r="G64" s="39" t="str">
        <x:v>tháng</x:v>
      </x:c>
      <x:c r="H64" s="48" t="n">
        <x:v>1</x:v>
      </x:c>
      <x:c r="I64" s="51" t="n">
        <x:v>62000000</x:v>
      </x:c>
      <x:c r="J64" s="51" t="n">
        <x:f>H64*I64</x:f>
        <x:v>62000000</x:v>
      </x:c>
      <x:c r="K64" s="54" t="n">
        <x:v>0</x:v>
      </x:c>
      <x:c r="L64" s="51" t="n">
        <x:f>J64*K64</x:f>
        <x:v>0</x:v>
      </x:c>
      <x:c r="M64" s="51" t="n">
        <x:f>J64+L64</x:f>
        <x:v>62000000</x:v>
      </x:c>
      <x:c r="N64" s="39" t="str">
        <x:v>Chuyển khoản</x:v>
      </x:c>
      <x:c r="O64" s="39" t="str">
        <x:v>Đã thanh toán</x:v>
      </x:c>
      <x:c r="P64" s="40" t="str">
        <x:v>Đơn giá áp dụng cho toàn đơn vị</x:v>
      </x:c>
    </x:row>
    <x:row r="65">
      <x:c r="A65" s="45" t="n">
        <x:v>46183</x:v>
      </x:c>
      <x:c r="B65" s="39" t="str">
        <x:v>HDMH-MAU-051</x:v>
      </x:c>
      <x:c r="C65" s="39" t="str">
        <x:v>NCC-01</x:v>
      </x:c>
      <x:c r="D65" s="39" t="str">
        <x:v>Nhà rang Hương Việt (mô phỏng)</x:v>
      </x:c>
      <x:c r="E65" s="39" t="str">
        <x:v>Cà phê hạt</x:v>
      </x:c>
      <x:c r="F65" s="39" t="str">
        <x:v>Cà phê hạt rang</x:v>
      </x:c>
      <x:c r="G65" s="39" t="str">
        <x:v>kg</x:v>
      </x:c>
      <x:c r="H65" s="48" t="n">
        <x:v>23</x:v>
      </x:c>
      <x:c r="I65" s="51" t="n">
        <x:v>286000</x:v>
      </x:c>
      <x:c r="J65" s="51" t="n">
        <x:f>H65*I65</x:f>
        <x:v>6578000</x:v>
      </x:c>
      <x:c r="K65" s="54" t="n">
        <x:v>0.08</x:v>
      </x:c>
      <x:c r="L65" s="51" t="n">
        <x:f>J65*K65</x:f>
        <x:v>526240</x:v>
      </x:c>
      <x:c r="M65" s="51" t="n">
        <x:f>J65+L65</x:f>
        <x:v>7104240</x:v>
      </x:c>
      <x:c r="N65" s="39" t="str">
        <x:v>Chuyển khoản</x:v>
      </x:c>
      <x:c r="O65" s="39" t="str">
        <x:v>Đã thanh toán</x:v>
      </x:c>
      <x:c r="P65" s="40" t="str"/>
    </x:row>
    <x:row r="66">
      <x:c r="A66" s="45" t="n">
        <x:v>46183</x:v>
      </x:c>
      <x:c r="B66" s="39" t="str">
        <x:v>HDMH-MAU-052</x:v>
      </x:c>
      <x:c r="C66" s="39" t="str">
        <x:v>NCC-02</x:v>
      </x:c>
      <x:c r="D66" s="39" t="str">
        <x:v>Sữa &amp; Nguyên liệu An Bình (mô phỏng)</x:v>
      </x:c>
      <x:c r="E66" s="39" t="str">
        <x:v>Sữa và nguyên liệu</x:v>
      </x:c>
      <x:c r="F66" s="39" t="str">
        <x:v>Sữa tươi và sữa đặc</x:v>
      </x:c>
      <x:c r="G66" s="39" t="str">
        <x:v>lô</x:v>
      </x:c>
      <x:c r="H66" s="48" t="n">
        <x:v>1</x:v>
      </x:c>
      <x:c r="I66" s="51" t="n">
        <x:v>5513000</x:v>
      </x:c>
      <x:c r="J66" s="51" t="n">
        <x:f>H66*I66</x:f>
        <x:v>5513000</x:v>
      </x:c>
      <x:c r="K66" s="54" t="n">
        <x:v>0.08</x:v>
      </x:c>
      <x:c r="L66" s="51" t="n">
        <x:f>J66*K66</x:f>
        <x:v>441040</x:v>
      </x:c>
      <x:c r="M66" s="51" t="n">
        <x:f>J66+L66</x:f>
        <x:v>5954040</x:v>
      </x:c>
      <x:c r="N66" s="39" t="str">
        <x:v>Tiền mặt</x:v>
      </x:c>
      <x:c r="O66" s="39" t="str">
        <x:v>Đã thanh toán</x:v>
      </x:c>
      <x:c r="P66" s="40" t="str">
        <x:v>Đơn giá áp dụng cho toàn đơn vị</x:v>
      </x:c>
    </x:row>
    <x:row r="67">
      <x:c r="A67" s="45" t="n">
        <x:v>46183</x:v>
      </x:c>
      <x:c r="B67" s="39" t="str">
        <x:v>HDMH-MAU-053</x:v>
      </x:c>
      <x:c r="C67" s="39" t="str">
        <x:v>NCC-03</x:v>
      </x:c>
      <x:c r="D67" s="39" t="str">
        <x:v>Bao bì Xanh Hà Nội (mô phỏng)</x:v>
      </x:c>
      <x:c r="E67" s="39" t="str">
        <x:v>Bao bì</x:v>
      </x:c>
      <x:c r="F67" s="39" t="str">
        <x:v>Cốc, nắp và túi mang đi</x:v>
      </x:c>
      <x:c r="G67" s="39" t="str">
        <x:v>lô</x:v>
      </x:c>
      <x:c r="H67" s="48" t="n">
        <x:v>1</x:v>
      </x:c>
      <x:c r="I67" s="51" t="n">
        <x:v>2907000</x:v>
      </x:c>
      <x:c r="J67" s="51" t="n">
        <x:f>H67*I67</x:f>
        <x:v>2907000</x:v>
      </x:c>
      <x:c r="K67" s="54" t="n">
        <x:v>0.08</x:v>
      </x:c>
      <x:c r="L67" s="51" t="n">
        <x:f>J67*K67</x:f>
        <x:v>232560</x:v>
      </x:c>
      <x:c r="M67" s="51" t="n">
        <x:f>J67+L67</x:f>
        <x:v>3139560</x:v>
      </x:c>
      <x:c r="N67" s="39" t="str">
        <x:v>Chuyển khoản</x:v>
      </x:c>
      <x:c r="O67" s="39" t="str">
        <x:v>Đã thanh toán</x:v>
      </x:c>
      <x:c r="P67" s="40" t="str">
        <x:v>Đơn giá áp dụng cho toàn đơn vị</x:v>
      </x:c>
    </x:row>
    <x:row r="68">
      <x:c r="A68" s="45" t="n">
        <x:v>46183</x:v>
      </x:c>
      <x:c r="B68" s="39" t="str">
        <x:v>HDMH-MAU-054</x:v>
      </x:c>
      <x:c r="C68" s="39" t="str">
        <x:v>NCC-04</x:v>
      </x:c>
      <x:c r="D68" s="39" t="str">
        <x:v>Bếp bánh Ban Mai (mô phỏng)</x:v>
      </x:c>
      <x:c r="E68" s="39" t="str">
        <x:v>Bánh</x:v>
      </x:c>
      <x:c r="F68" s="39" t="str">
        <x:v>Bánh ngọt giao tuần</x:v>
      </x:c>
      <x:c r="G68" s="39" t="str">
        <x:v>lô</x:v>
      </x:c>
      <x:c r="H68" s="48" t="n">
        <x:v>1</x:v>
      </x:c>
      <x:c r="I68" s="51" t="n">
        <x:v>4784000</x:v>
      </x:c>
      <x:c r="J68" s="51" t="n">
        <x:f>H68*I68</x:f>
        <x:v>4784000</x:v>
      </x:c>
      <x:c r="K68" s="54" t="n">
        <x:v>0.08</x:v>
      </x:c>
      <x:c r="L68" s="51" t="n">
        <x:f>J68*K68</x:f>
        <x:v>382720</x:v>
      </x:c>
      <x:c r="M68" s="51" t="n">
        <x:f>J68+L68</x:f>
        <x:v>5166720</x:v>
      </x:c>
      <x:c r="N68" s="39" t="str">
        <x:v>Tiền mặt</x:v>
      </x:c>
      <x:c r="O68" s="39" t="str">
        <x:v>Đã thanh toán</x:v>
      </x:c>
      <x:c r="P68" s="40" t="str">
        <x:v>Đơn giá áp dụng cho toàn đơn vị</x:v>
      </x:c>
    </x:row>
    <x:row r="69">
      <x:c r="A69" s="45" t="n">
        <x:v>46183</x:v>
      </x:c>
      <x:c r="B69" s="39" t="str">
        <x:v>HDMH-MAU-055</x:v>
      </x:c>
      <x:c r="C69" s="39" t="str">
        <x:v>NCC-06</x:v>
      </x:c>
      <x:c r="D69" s="39" t="str">
        <x:v>Truyền thông Phố Cổ (mô phỏng)</x:v>
      </x:c>
      <x:c r="E69" s="39" t="str">
        <x:v>Marketing</x:v>
      </x:c>
      <x:c r="F69" s="39" t="str">
        <x:v>Quảng cáo mạng xã hội</x:v>
      </x:c>
      <x:c r="G69" s="39" t="str">
        <x:v>gói</x:v>
      </x:c>
      <x:c r="H69" s="48" t="n">
        <x:v>1</x:v>
      </x:c>
      <x:c r="I69" s="51" t="n">
        <x:v>2247000</x:v>
      </x:c>
      <x:c r="J69" s="51" t="n">
        <x:f>H69*I69</x:f>
        <x:v>2247000</x:v>
      </x:c>
      <x:c r="K69" s="54" t="n">
        <x:v>0.1</x:v>
      </x:c>
      <x:c r="L69" s="51" t="n">
        <x:f>J69*K69</x:f>
        <x:v>224700</x:v>
      </x:c>
      <x:c r="M69" s="51" t="n">
        <x:f>J69+L69</x:f>
        <x:v>2471700</x:v>
      </x:c>
      <x:c r="N69" s="39" t="str">
        <x:v>Chuyển khoản</x:v>
      </x:c>
      <x:c r="O69" s="39" t="str">
        <x:v>Đã thanh toán</x:v>
      </x:c>
      <x:c r="P69" s="40" t="str">
        <x:v>Đơn giá áp dụng cho toàn đơn vị</x:v>
      </x:c>
    </x:row>
    <x:row r="70">
      <x:c r="A70" s="45" t="n">
        <x:v>46188</x:v>
      </x:c>
      <x:c r="B70" s="39" t="str">
        <x:v>CP-DIENNUOC-202606</x:v>
      </x:c>
      <x:c r="C70" s="39" t="str">
        <x:v>NCC-05</x:v>
      </x:c>
      <x:c r="D70" s="39" t="str">
        <x:v>Dịch vụ Vận hành Hồ Gươm (mô phỏng)</x:v>
      </x:c>
      <x:c r="E70" s="39" t="str">
        <x:v>Điện nước</x:v>
      </x:c>
      <x:c r="F70" s="39" t="str">
        <x:v>Điện, nước, internet tháng 06/2026</x:v>
      </x:c>
      <x:c r="G70" s="39" t="str">
        <x:v>tháng</x:v>
      </x:c>
      <x:c r="H70" s="48" t="n">
        <x:v>1</x:v>
      </x:c>
      <x:c r="I70" s="51" t="n">
        <x:v>12421000</x:v>
      </x:c>
      <x:c r="J70" s="51" t="n">
        <x:f>H70*I70</x:f>
        <x:v>12421000</x:v>
      </x:c>
      <x:c r="K70" s="54" t="n">
        <x:v>0.1</x:v>
      </x:c>
      <x:c r="L70" s="51" t="n">
        <x:f>J70*K70</x:f>
        <x:v>1242100</x:v>
      </x:c>
      <x:c r="M70" s="51" t="n">
        <x:f>J70+L70</x:f>
        <x:v>13663100</x:v>
      </x:c>
      <x:c r="N70" s="39" t="str">
        <x:v>Chuyển khoản</x:v>
      </x:c>
      <x:c r="O70" s="39" t="str">
        <x:v>Đã thanh toán</x:v>
      </x:c>
      <x:c r="P70" s="40" t="str">
        <x:v>Đơn giá áp dụng cho toàn đơn vị</x:v>
      </x:c>
    </x:row>
    <x:row r="71">
      <x:c r="A71" s="45" t="n">
        <x:v>46190</x:v>
      </x:c>
      <x:c r="B71" s="39" t="str">
        <x:v>HDMH-MAU-056</x:v>
      </x:c>
      <x:c r="C71" s="39" t="str">
        <x:v>NCC-01</x:v>
      </x:c>
      <x:c r="D71" s="39" t="str">
        <x:v>Nhà rang Hương Việt (mô phỏng)</x:v>
      </x:c>
      <x:c r="E71" s="39" t="str">
        <x:v>Cà phê hạt</x:v>
      </x:c>
      <x:c r="F71" s="39" t="str">
        <x:v>Cà phê hạt rang</x:v>
      </x:c>
      <x:c r="G71" s="39" t="str">
        <x:v>kg</x:v>
      </x:c>
      <x:c r="H71" s="48" t="n">
        <x:v>22</x:v>
      </x:c>
      <x:c r="I71" s="51" t="n">
        <x:v>287000</x:v>
      </x:c>
      <x:c r="J71" s="51" t="n">
        <x:f>H71*I71</x:f>
        <x:v>6314000</x:v>
      </x:c>
      <x:c r="K71" s="54" t="n">
        <x:v>0.08</x:v>
      </x:c>
      <x:c r="L71" s="51" t="n">
        <x:f>J71*K71</x:f>
        <x:v>505120</x:v>
      </x:c>
      <x:c r="M71" s="51" t="n">
        <x:f>J71+L71</x:f>
        <x:v>6819120</x:v>
      </x:c>
      <x:c r="N71" s="39" t="str">
        <x:v>Chuyển khoản</x:v>
      </x:c>
      <x:c r="O71" s="39" t="str">
        <x:v>Đã thanh toán</x:v>
      </x:c>
      <x:c r="P71" s="40" t="str"/>
    </x:row>
    <x:row r="72">
      <x:c r="A72" s="45" t="n">
        <x:v>46190</x:v>
      </x:c>
      <x:c r="B72" s="39" t="str">
        <x:v>HDMH-MAU-057</x:v>
      </x:c>
      <x:c r="C72" s="39" t="str">
        <x:v>NCC-02</x:v>
      </x:c>
      <x:c r="D72" s="39" t="str">
        <x:v>Sữa &amp; Nguyên liệu An Bình (mô phỏng)</x:v>
      </x:c>
      <x:c r="E72" s="39" t="str">
        <x:v>Sữa và nguyên liệu</x:v>
      </x:c>
      <x:c r="F72" s="39" t="str">
        <x:v>Sữa tươi và sữa đặc</x:v>
      </x:c>
      <x:c r="G72" s="39" t="str">
        <x:v>lô</x:v>
      </x:c>
      <x:c r="H72" s="48" t="n">
        <x:v>1</x:v>
      </x:c>
      <x:c r="I72" s="51" t="n">
        <x:v>5542000</x:v>
      </x:c>
      <x:c r="J72" s="51" t="n">
        <x:f>H72*I72</x:f>
        <x:v>5542000</x:v>
      </x:c>
      <x:c r="K72" s="54" t="n">
        <x:v>0.08</x:v>
      </x:c>
      <x:c r="L72" s="51" t="n">
        <x:f>J72*K72</x:f>
        <x:v>443360</x:v>
      </x:c>
      <x:c r="M72" s="51" t="n">
        <x:f>J72+L72</x:f>
        <x:v>5985360</x:v>
      </x:c>
      <x:c r="N72" s="39" t="str">
        <x:v>Tiền mặt</x:v>
      </x:c>
      <x:c r="O72" s="39" t="str">
        <x:v>Đã thanh toán</x:v>
      </x:c>
      <x:c r="P72" s="40" t="str">
        <x:v>Đơn giá áp dụng cho toàn đơn vị</x:v>
      </x:c>
    </x:row>
    <x:row r="73">
      <x:c r="A73" s="45" t="n">
        <x:v>46190</x:v>
      </x:c>
      <x:c r="B73" s="39" t="str">
        <x:v>HDMH-MAU-058</x:v>
      </x:c>
      <x:c r="C73" s="39" t="str">
        <x:v>NCC-03</x:v>
      </x:c>
      <x:c r="D73" s="39" t="str">
        <x:v>Bao bì Xanh Hà Nội (mô phỏng)</x:v>
      </x:c>
      <x:c r="E73" s="39" t="str">
        <x:v>Bao bì</x:v>
      </x:c>
      <x:c r="F73" s="39" t="str">
        <x:v>Cốc, nắp và túi mang đi</x:v>
      </x:c>
      <x:c r="G73" s="39" t="str">
        <x:v>lô</x:v>
      </x:c>
      <x:c r="H73" s="48" t="n">
        <x:v>1</x:v>
      </x:c>
      <x:c r="I73" s="51" t="n">
        <x:v>2983000</x:v>
      </x:c>
      <x:c r="J73" s="51" t="n">
        <x:f>H73*I73</x:f>
        <x:v>2983000</x:v>
      </x:c>
      <x:c r="K73" s="54" t="n">
        <x:v>0.08</x:v>
      </x:c>
      <x:c r="L73" s="51" t="n">
        <x:f>J73*K73</x:f>
        <x:v>238640</x:v>
      </x:c>
      <x:c r="M73" s="51" t="n">
        <x:f>J73+L73</x:f>
        <x:v>3221640</x:v>
      </x:c>
      <x:c r="N73" s="39" t="str">
        <x:v>Chuyển khoản</x:v>
      </x:c>
      <x:c r="O73" s="39" t="str">
        <x:v>Đã thanh toán</x:v>
      </x:c>
      <x:c r="P73" s="40" t="str">
        <x:v>Đơn giá áp dụng cho toàn đơn vị</x:v>
      </x:c>
    </x:row>
    <x:row r="74">
      <x:c r="A74" s="45" t="n">
        <x:v>46190</x:v>
      </x:c>
      <x:c r="B74" s="39" t="str">
        <x:v>HDMH-MAU-059</x:v>
      </x:c>
      <x:c r="C74" s="39" t="str">
        <x:v>NCC-04</x:v>
      </x:c>
      <x:c r="D74" s="39" t="str">
        <x:v>Bếp bánh Ban Mai (mô phỏng)</x:v>
      </x:c>
      <x:c r="E74" s="39" t="str">
        <x:v>Bánh</x:v>
      </x:c>
      <x:c r="F74" s="39" t="str">
        <x:v>Bánh ngọt giao tuần</x:v>
      </x:c>
      <x:c r="G74" s="39" t="str">
        <x:v>lô</x:v>
      </x:c>
      <x:c r="H74" s="48" t="n">
        <x:v>1</x:v>
      </x:c>
      <x:c r="I74" s="51" t="n">
        <x:v>4853000</x:v>
      </x:c>
      <x:c r="J74" s="51" t="n">
        <x:f>H74*I74</x:f>
        <x:v>4853000</x:v>
      </x:c>
      <x:c r="K74" s="54" t="n">
        <x:v>0.08</x:v>
      </x:c>
      <x:c r="L74" s="51" t="n">
        <x:f>J74*K74</x:f>
        <x:v>388240</x:v>
      </x:c>
      <x:c r="M74" s="51" t="n">
        <x:f>J74+L74</x:f>
        <x:v>5241240</x:v>
      </x:c>
      <x:c r="N74" s="39" t="str">
        <x:v>Tiền mặt</x:v>
      </x:c>
      <x:c r="O74" s="39" t="str">
        <x:v>Đã thanh toán</x:v>
      </x:c>
      <x:c r="P74" s="40" t="str">
        <x:v>Đơn giá áp dụng cho toàn đơn vị</x:v>
      </x:c>
    </x:row>
    <x:row r="75">
      <x:c r="A75" s="45" t="n">
        <x:v>46190</x:v>
      </x:c>
      <x:c r="B75" s="39" t="str">
        <x:v>HDMH-MAU-060</x:v>
      </x:c>
      <x:c r="C75" s="39" t="str">
        <x:v>NCC-06</x:v>
      </x:c>
      <x:c r="D75" s="39" t="str">
        <x:v>Truyền thông Phố Cổ (mô phỏng)</x:v>
      </x:c>
      <x:c r="E75" s="39" t="str">
        <x:v>Marketing</x:v>
      </x:c>
      <x:c r="F75" s="39" t="str">
        <x:v>Quảng cáo mạng xã hội</x:v>
      </x:c>
      <x:c r="G75" s="39" t="str">
        <x:v>gói</x:v>
      </x:c>
      <x:c r="H75" s="48" t="n">
        <x:v>1</x:v>
      </x:c>
      <x:c r="I75" s="51" t="n">
        <x:v>2149000</x:v>
      </x:c>
      <x:c r="J75" s="51" t="n">
        <x:f>H75*I75</x:f>
        <x:v>2149000</x:v>
      </x:c>
      <x:c r="K75" s="54" t="n">
        <x:v>0.1</x:v>
      </x:c>
      <x:c r="L75" s="51" t="n">
        <x:f>J75*K75</x:f>
        <x:v>214900</x:v>
      </x:c>
      <x:c r="M75" s="51" t="n">
        <x:f>J75+L75</x:f>
        <x:v>2363900</x:v>
      </x:c>
      <x:c r="N75" s="39" t="str">
        <x:v>Chuyển khoản</x:v>
      </x:c>
      <x:c r="O75" s="39" t="str">
        <x:v>Đã thanh toán</x:v>
      </x:c>
      <x:c r="P75" s="40" t="str">
        <x:v>Đơn giá áp dụng cho toàn đơn vị</x:v>
      </x:c>
    </x:row>
    <x:row r="76">
      <x:c r="A76" s="45" t="n">
        <x:v>46193</x:v>
      </x:c>
      <x:c r="B76" s="39" t="str">
        <x:v>CP-PHANMEM-202606</x:v>
      </x:c>
      <x:c r="C76" s="39" t="str">
        <x:v>NCC-POS</x:v>
      </x:c>
      <x:c r="D76" s="39" t="str">
        <x:v>Nền tảng POS (mô phỏng)</x:v>
      </x:c>
      <x:c r="E76" s="39" t="str">
        <x:v>Phần mềm</x:v>
      </x:c>
      <x:c r="F76" s="39" t="str">
        <x:v>POS và phần mềm tháng 06/2026</x:v>
      </x:c>
      <x:c r="G76" s="39" t="str">
        <x:v>tháng</x:v>
      </x:c>
      <x:c r="H76" s="48" t="n">
        <x:v>1</x:v>
      </x:c>
      <x:c r="I76" s="51" t="n">
        <x:v>1800000</x:v>
      </x:c>
      <x:c r="J76" s="51" t="n">
        <x:f>H76*I76</x:f>
        <x:v>1800000</x:v>
      </x:c>
      <x:c r="K76" s="54" t="n">
        <x:v>0.1</x:v>
      </x:c>
      <x:c r="L76" s="51" t="n">
        <x:f>J76*K76</x:f>
        <x:v>180000</x:v>
      </x:c>
      <x:c r="M76" s="51" t="n">
        <x:f>J76+L76</x:f>
        <x:v>1980000</x:v>
      </x:c>
      <x:c r="N76" s="39" t="str">
        <x:v>Chuyển khoản</x:v>
      </x:c>
      <x:c r="O76" s="39" t="str">
        <x:v>Đã thanh toán</x:v>
      </x:c>
      <x:c r="P76" s="40" t="str">
        <x:v>Đơn giá áp dụng cho toàn đơn vị</x:v>
      </x:c>
    </x:row>
    <x:row r="77">
      <x:c r="A77" s="45" t="n">
        <x:v>46197</x:v>
      </x:c>
      <x:c r="B77" s="39" t="str">
        <x:v>HDMH-MAU-061</x:v>
      </x:c>
      <x:c r="C77" s="39" t="str">
        <x:v>NCC-01</x:v>
      </x:c>
      <x:c r="D77" s="39" t="str">
        <x:v>Nhà rang Hương Việt (mô phỏng)</x:v>
      </x:c>
      <x:c r="E77" s="39" t="str">
        <x:v>Cà phê hạt</x:v>
      </x:c>
      <x:c r="F77" s="39" t="str">
        <x:v>Cà phê hạt rang</x:v>
      </x:c>
      <x:c r="G77" s="39" t="str">
        <x:v>kg</x:v>
      </x:c>
      <x:c r="H77" s="48" t="n">
        <x:v>22</x:v>
      </x:c>
      <x:c r="I77" s="51" t="n">
        <x:v>285000</x:v>
      </x:c>
      <x:c r="J77" s="51" t="n">
        <x:f>H77*I77</x:f>
        <x:v>6270000</x:v>
      </x:c>
      <x:c r="K77" s="54" t="n">
        <x:v>0.08</x:v>
      </x:c>
      <x:c r="L77" s="51" t="n">
        <x:f>J77*K77</x:f>
        <x:v>501600</x:v>
      </x:c>
      <x:c r="M77" s="51" t="n">
        <x:f>J77+L77</x:f>
        <x:v>6771600</x:v>
      </x:c>
      <x:c r="N77" s="39" t="str">
        <x:v>Chuyển khoản</x:v>
      </x:c>
      <x:c r="O77" s="39" t="str">
        <x:v>Đã thanh toán</x:v>
      </x:c>
      <x:c r="P77" s="40" t="str"/>
    </x:row>
    <x:row r="78">
      <x:c r="A78" s="45" t="n">
        <x:v>46197</x:v>
      </x:c>
      <x:c r="B78" s="39" t="str">
        <x:v>HDMH-MAU-062</x:v>
      </x:c>
      <x:c r="C78" s="39" t="str">
        <x:v>NCC-02</x:v>
      </x:c>
      <x:c r="D78" s="39" t="str">
        <x:v>Sữa &amp; Nguyên liệu An Bình (mô phỏng)</x:v>
      </x:c>
      <x:c r="E78" s="39" t="str">
        <x:v>Sữa và nguyên liệu</x:v>
      </x:c>
      <x:c r="F78" s="39" t="str">
        <x:v>Sữa tươi và sữa đặc</x:v>
      </x:c>
      <x:c r="G78" s="39" t="str">
        <x:v>lô</x:v>
      </x:c>
      <x:c r="H78" s="48" t="n">
        <x:v>1</x:v>
      </x:c>
      <x:c r="I78" s="51" t="n">
        <x:v>5619000</x:v>
      </x:c>
      <x:c r="J78" s="51" t="n">
        <x:f>H78*I78</x:f>
        <x:v>5619000</x:v>
      </x:c>
      <x:c r="K78" s="54" t="n">
        <x:v>0.08</x:v>
      </x:c>
      <x:c r="L78" s="51" t="n">
        <x:f>J78*K78</x:f>
        <x:v>449520</x:v>
      </x:c>
      <x:c r="M78" s="51" t="n">
        <x:f>J78+L78</x:f>
        <x:v>6068520</x:v>
      </x:c>
      <x:c r="N78" s="39" t="str">
        <x:v>Tiền mặt</x:v>
      </x:c>
      <x:c r="O78" s="39" t="str">
        <x:v>Đã thanh toán</x:v>
      </x:c>
      <x:c r="P78" s="40" t="str">
        <x:v>Đơn giá áp dụng cho toàn đơn vị</x:v>
      </x:c>
    </x:row>
    <x:row r="79">
      <x:c r="A79" s="45" t="n">
        <x:v>46197</x:v>
      </x:c>
      <x:c r="B79" s="39" t="str">
        <x:v>HDMH-MAU-063</x:v>
      </x:c>
      <x:c r="C79" s="39" t="str">
        <x:v>NCC-03</x:v>
      </x:c>
      <x:c r="D79" s="39" t="str">
        <x:v>Bao bì Xanh Hà Nội (mô phỏng)</x:v>
      </x:c>
      <x:c r="E79" s="39" t="str">
        <x:v>Bao bì</x:v>
      </x:c>
      <x:c r="F79" s="39" t="str">
        <x:v>Cốc, nắp và túi mang đi</x:v>
      </x:c>
      <x:c r="G79" s="39" t="str">
        <x:v>lô</x:v>
      </x:c>
      <x:c r="H79" s="48" t="n">
        <x:v>1</x:v>
      </x:c>
      <x:c r="I79" s="51" t="n">
        <x:v>2936000</x:v>
      </x:c>
      <x:c r="J79" s="51" t="n">
        <x:f>H79*I79</x:f>
        <x:v>2936000</x:v>
      </x:c>
      <x:c r="K79" s="54" t="n">
        <x:v>0.08</x:v>
      </x:c>
      <x:c r="L79" s="51" t="n">
        <x:f>J79*K79</x:f>
        <x:v>234880</x:v>
      </x:c>
      <x:c r="M79" s="51" t="n">
        <x:f>J79+L79</x:f>
        <x:v>3170880</x:v>
      </x:c>
      <x:c r="N79" s="39" t="str">
        <x:v>Chuyển khoản</x:v>
      </x:c>
      <x:c r="O79" s="39" t="str">
        <x:v>Đã thanh toán</x:v>
      </x:c>
      <x:c r="P79" s="40" t="str">
        <x:v>Đơn giá áp dụng cho toàn đơn vị</x:v>
      </x:c>
    </x:row>
    <x:row r="80">
      <x:c r="A80" s="45" t="n">
        <x:v>46197</x:v>
      </x:c>
      <x:c r="B80" s="39" t="str">
        <x:v>HDMH-MAU-064</x:v>
      </x:c>
      <x:c r="C80" s="39" t="str">
        <x:v>NCC-04</x:v>
      </x:c>
      <x:c r="D80" s="39" t="str">
        <x:v>Bếp bánh Ban Mai (mô phỏng)</x:v>
      </x:c>
      <x:c r="E80" s="39" t="str">
        <x:v>Bánh</x:v>
      </x:c>
      <x:c r="F80" s="39" t="str">
        <x:v>Bánh ngọt giao tuần</x:v>
      </x:c>
      <x:c r="G80" s="39" t="str">
        <x:v>lô</x:v>
      </x:c>
      <x:c r="H80" s="48" t="n">
        <x:v>1</x:v>
      </x:c>
      <x:c r="I80" s="51" t="n">
        <x:v>4763000</x:v>
      </x:c>
      <x:c r="J80" s="51" t="n">
        <x:f>H80*I80</x:f>
        <x:v>4763000</x:v>
      </x:c>
      <x:c r="K80" s="54" t="n">
        <x:v>0.08</x:v>
      </x:c>
      <x:c r="L80" s="51" t="n">
        <x:f>J80*K80</x:f>
        <x:v>381040</x:v>
      </x:c>
      <x:c r="M80" s="51" t="n">
        <x:f>J80+L80</x:f>
        <x:v>5144040</x:v>
      </x:c>
      <x:c r="N80" s="39" t="str">
        <x:v>Tiền mặt</x:v>
      </x:c>
      <x:c r="O80" s="39" t="str">
        <x:v>Đã thanh toán</x:v>
      </x:c>
      <x:c r="P80" s="40" t="str">
        <x:v>Đơn giá áp dụng cho toàn đơn vị</x:v>
      </x:c>
    </x:row>
    <x:row r="81">
      <x:c r="A81" s="46" t="n">
        <x:v>46197</x:v>
      </x:c>
      <x:c r="B81" s="42" t="str">
        <x:v>HDMH-MAU-065</x:v>
      </x:c>
      <x:c r="C81" s="42" t="str">
        <x:v>NCC-06</x:v>
      </x:c>
      <x:c r="D81" s="42" t="str">
        <x:v>Truyền thông Phố Cổ (mô phỏng)</x:v>
      </x:c>
      <x:c r="E81" s="42" t="str">
        <x:v>Marketing</x:v>
      </x:c>
      <x:c r="F81" s="42" t="str">
        <x:v>Quảng cáo mạng xã hội</x:v>
      </x:c>
      <x:c r="G81" s="42" t="str">
        <x:v>gói</x:v>
      </x:c>
      <x:c r="H81" s="49" t="n">
        <x:v>1</x:v>
      </x:c>
      <x:c r="I81" s="52" t="n">
        <x:v>2159000</x:v>
      </x:c>
      <x:c r="J81" s="52" t="n">
        <x:f>H81*I81</x:f>
        <x:v>2159000</x:v>
      </x:c>
      <x:c r="K81" s="55" t="n">
        <x:v>0.1</x:v>
      </x:c>
      <x:c r="L81" s="52" t="n">
        <x:f>J81*K81</x:f>
        <x:v>215900</x:v>
      </x:c>
      <x:c r="M81" s="52" t="n">
        <x:f>J81+L81</x:f>
        <x:v>2374900</x:v>
      </x:c>
      <x:c r="N81" s="42" t="str">
        <x:v>Chuyển khoản</x:v>
      </x:c>
      <x:c r="O81" s="42" t="str">
        <x:v>Đã thanh toán</x:v>
      </x:c>
      <x:c r="P81" s="43" t="str">
        <x:v>Đơn giá áp dụng cho toàn đơn vị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32" customHeight="1">
      <x:c r="A1" s="3" t="str">
        <x:v>DANH MỤC NHÀ CUNG CẤP MÔ PHỎNG</x:v>
      </x:c>
    </x:row>
    <x:row r="2" ht="25" customHeight="1">
      <x:c r="A2" s="7" t="str">
        <x:v>DỮ LIỆU MÔ PHỎNG - KHÔNG CÓ GIÁ TRỊ PHÁP LÝ</x:v>
      </x:c>
    </x:row>
    <x:row r="4" ht="28" customHeight="1">
      <x:c r="A4" s="14" t="str">
        <x:v>Mã NCC</x:v>
      </x:c>
      <x:c r="B4" s="19" t="str">
        <x:v>Tên</x:v>
      </x:c>
      <x:c r="C4" s="19" t="str">
        <x:v>Nhóm</x:v>
      </x:c>
      <x:c r="D4" s="15" t="str">
        <x:v>Trạng thái</x:v>
      </x:c>
    </x:row>
    <x:row r="5">
      <x:c r="A5" s="35" t="str">
        <x:v>NCC-01</x:v>
      </x:c>
      <x:c r="B5" s="36" t="str">
        <x:v>Nhà rang Hương Việt (mô phỏng)</x:v>
      </x:c>
      <x:c r="C5" s="36" t="str">
        <x:v>Cà phê hạt</x:v>
      </x:c>
      <x:c r="D5" s="37" t="str">
        <x:v>Đang sử dụng</x:v>
      </x:c>
    </x:row>
    <x:row r="6">
      <x:c r="A6" s="38" t="str">
        <x:v>NCC-02</x:v>
      </x:c>
      <x:c r="B6" s="39" t="str">
        <x:v>Sữa &amp; Nguyên liệu An Bình (mô phỏng)</x:v>
      </x:c>
      <x:c r="C6" s="39" t="str">
        <x:v>Sữa và nguyên liệu</x:v>
      </x:c>
      <x:c r="D6" s="40" t="str">
        <x:v>Đang sử dụng</x:v>
      </x:c>
    </x:row>
    <x:row r="7">
      <x:c r="A7" s="38" t="str">
        <x:v>NCC-03</x:v>
      </x:c>
      <x:c r="B7" s="39" t="str">
        <x:v>Bao bì Xanh Hà Nội (mô phỏng)</x:v>
      </x:c>
      <x:c r="C7" s="39" t="str">
        <x:v>Bao bì</x:v>
      </x:c>
      <x:c r="D7" s="40" t="str">
        <x:v>Đang sử dụng</x:v>
      </x:c>
    </x:row>
    <x:row r="8">
      <x:c r="A8" s="38" t="str">
        <x:v>NCC-04</x:v>
      </x:c>
      <x:c r="B8" s="39" t="str">
        <x:v>Bếp bánh Ban Mai (mô phỏng)</x:v>
      </x:c>
      <x:c r="C8" s="39" t="str">
        <x:v>Bánh</x:v>
      </x:c>
      <x:c r="D8" s="40" t="str">
        <x:v>Đang sử dụng</x:v>
      </x:c>
    </x:row>
    <x:row r="9">
      <x:c r="A9" s="38" t="str">
        <x:v>NCC-05</x:v>
      </x:c>
      <x:c r="B9" s="39" t="str">
        <x:v>Dịch vụ Vận hành Hồ Gươm (mô phỏng)</x:v>
      </x:c>
      <x:c r="C9" s="39" t="str">
        <x:v>Vận hành</x:v>
      </x:c>
      <x:c r="D9" s="40" t="str">
        <x:v>Đang sử dụng</x:v>
      </x:c>
    </x:row>
    <x:row r="10">
      <x:c r="A10" s="41" t="str">
        <x:v>NCC-06</x:v>
      </x:c>
      <x:c r="B10" s="42" t="str">
        <x:v>Truyền thông Phố Cổ (mô phỏng)</x:v>
      </x:c>
      <x:c r="C10" s="42" t="str">
        <x:v>Marketing</x:v>
      </x:c>
      <x:c r="D10" s="43" t="str">
        <x:v>Đang sử dụng</x:v>
      </x:c>
    </x:row>
  </x:sheetData>
  <x:mergeCells>
    <x:mergeCell ref="A1:D1"/>
    <x:mergeCell ref="A2:D2"/>
  </x:mergeCells>
  <x:pageMargins left="0.7" right="0.7" top="0.75" bottom="0.75" header="0.3" footer="0.3"/>
</x:worksheet>
</file>