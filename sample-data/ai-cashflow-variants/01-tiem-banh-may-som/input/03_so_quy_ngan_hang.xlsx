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f1f3b43d8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Đọc trước" sheetId="1" r:id="Rfe2e06fd7fd84b87"/>
    <x:sheet xmlns:r="http://schemas.openxmlformats.org/officeDocument/2006/relationships" name="Sổ tổng hợp" sheetId="2" r:id="R5770223e110a42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[Red](#,##0);-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9"/>
      <x:color rgb="FF66727D"/>
      <x:name val="Carlito"/>
    </x:font>
    <x:font>
      <x:b/>
      <x:sz val="11"/>
      <x:color rgb="FFFFFFFF"/>
      <x:name val="Carlito"/>
    </x:font>
    <x:font>
      <x:sz val="9"/>
      <x:color rgb="FF1F29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6F1E8"/>
      </x:patternFill>
    </x:fill>
    <x:fill>
      <x:patternFill patternType="solid">
        <x:fgColor rgb="FF1F6F78"/>
      </x:patternFill>
    </x:fill>
  </x:fills>
  <x:borders count="7">
    <x:border/>
    <x:border>
      <x:right style="thin">
        <x:color rgb="FFCCD6DD"/>
      </x:right>
    </x:border>
    <x:border>
      <x:left style="thin">
        <x:color rgb="FFCCD6DD"/>
      </x:left>
    </x:border>
    <x:border>
      <x:bottom style="thin">
        <x:color rgb="FFE6ECEF"/>
      </x:bottom>
    </x:border>
    <x:border>
      <x:top style="thin">
        <x:color rgb="FFE6ECEF"/>
      </x:top>
      <x:bottom style="thin">
        <x:color rgb="FFE6ECEF"/>
      </x:bottom>
    </x:border>
    <x:border>
      <x:top style="thin">
        <x:color rgb="FFE6ECEF"/>
      </x:top>
    </x:border>
    <x:border>
      <x:left style="thin">
        <x:color rgb="FFCCD6DD"/>
      </x:left>
      <x:right style="thin">
        <x:color rgb="FFCCD6DD"/>
      </x:right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7259b3fb64687" /><Relationship Type="http://schemas.openxmlformats.org/officeDocument/2006/relationships/theme" Target="/xl/theme/theme1.xml" Id="R145777f0991d4802" /><Relationship Type="http://schemas.openxmlformats.org/officeDocument/2006/relationships/sharedStrings" Target="/xl/sharedStrings.xml" Id="R22b00fbc8a494e54" /><Relationship Type="http://schemas.openxmlformats.org/officeDocument/2006/relationships/worksheet" Target="/xl/worksheets/sheet1.xml" Id="Rfe2e06fd7fd84b87" /><Relationship Type="http://schemas.openxmlformats.org/officeDocument/2006/relationships/worksheet" Target="/xl/worksheets/sheet2.xml" Id="R5770223e110a42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2" customHeight="1">
      <x:c r="A1" s="3" t="str">
        <x:v>TIỆM BÁNH MÂY SỚM - SỔ QUỸ</x:v>
      </x:c>
      <x:c r="B1" s="3"/>
      <x:c r="C1" s="3"/>
      <x:c r="D1" s="3"/>
      <x:c r="E1" s="3"/>
      <x:c r="F1" s="3"/>
    </x:row>
    <x:row r="2" ht="22" customHeight="1">
      <x:c r="A2" s="5" t="str">
        <x:v>DỮ LIỆU MÔ PHỎNG - KHÔNG CÓ GIÁ TRỊ KẾ TOÁN, THUẾ HOẶC PHÁP LÝ</x:v>
      </x:c>
      <x:c r="B2" s="5"/>
      <x:c r="C2" s="5"/>
      <x:c r="D2" s="5"/>
      <x:c r="E2" s="5"/>
      <x:c r="F2" s="5"/>
    </x:row>
    <x:row r="4" ht="30" customHeight="1">
      <x:c r="A4" s="12" t="str">
        <x:v>Mục</x:v>
      </x:c>
      <x:c r="B4" s="13" t="str">
        <x:v>Nội dung</x:v>
      </x:c>
    </x:row>
    <x:row r="5">
      <x:c r="A5" s="18" t="str">
        <x:v>Kỳ dữ liệu</x:v>
      </x:c>
      <x:c r="B5" s="21" t="str">
        <x:v>01/04/2026 - 30/06/2026</x:v>
      </x:c>
    </x:row>
    <x:row r="6">
      <x:c r="A6" s="19" t="str">
        <x:v>Tiền tệ</x:v>
      </x:c>
      <x:c r="B6" s="22" t="str">
        <x:v>VND</x:v>
      </x:c>
    </x:row>
    <x:row r="7">
      <x:c r="A7" s="19" t="str">
        <x:v>Quy tắc</x:v>
      </x:c>
      <x:c r="B7" s="22" t="str">
        <x:v>Không cộng trùng doanh thu với tiền thu trong sổ quỹ/sao kê.</x:v>
      </x:c>
    </x:row>
    <x:row r="8">
      <x:c r="A8" s="19" t="str">
        <x:v>Lưu ý</x:v>
      </x:c>
      <x:c r="B8" s="22" t="str">
        <x:v>Cột Có tính dòng tiền? là quy tắc loại trừ chuyển nội bộ. Số tiền dương là tiền vào, âm là tiền ra.</x:v>
      </x:c>
    </x:row>
    <x:row r="9">
      <x:c r="A9" s="20" t="str">
        <x:v>Cảnh báo</x:v>
      </x:c>
      <x:c r="B9" s="23" t="str">
        <x:v>DỮ LIỆU MÔ PHỎNG - KHÔNG CÓ GIÁ TRỊ KẾ TOÁN, THUẾ HOẶC PHÁP LÝ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9" hidden="0" customWidth="1"/>
    <x:col min="4" max="4" width="22" hidden="0" customWidth="1"/>
    <x:col min="5" max="5" width="18" hidden="0" customWidth="1"/>
    <x:col min="6" max="6" width="17" hidden="0" customWidth="1"/>
    <x:col min="7" max="7" width="17" hidden="0" customWidth="1"/>
    <x:col min="8" max="8" width="14" hidden="0" customWidth="1"/>
    <x:col min="9" max="9" width="18" hidden="0" customWidth="1"/>
    <x:col min="10" max="10" width="34" hidden="0" customWidth="1"/>
  </x:cols>
  <x:sheetData>
    <x:row r="1" ht="32" customHeight="1">
      <x:c r="A1" s="3" t="str">
        <x:v>SỔ QUỸ &amp; NGÂN HÀNG HỢP NHẤT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5" t="str">
        <x:v>Số dư đầu kỳ: 185.000.000 VND | DỮ LIỆU MÔ PHỎNG - KHÔNG CÓ GIÁ TRỊ KẾ TOÁN, THUẾ HOẶC PHÁP LÝ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0" customHeight="1">
      <x:c r="A4" s="12" t="str">
        <x:v>Mã</x:v>
      </x:c>
      <x:c r="B4" s="26" t="str">
        <x:v>Ngày</x:v>
      </x:c>
      <x:c r="C4" s="26" t="str">
        <x:v>Tài khoản</x:v>
      </x:c>
      <x:c r="D4" s="26" t="str">
        <x:v>Loại</x:v>
      </x:c>
      <x:c r="E4" s="26" t="str">
        <x:v>Nhóm</x:v>
      </x:c>
      <x:c r="F4" s="26" t="str">
        <x:v>Số tiền (+/-)</x:v>
      </x:c>
      <x:c r="G4" s="26" t="str">
        <x:v>Có tính dòng tiền?</x:v>
      </x:c>
      <x:c r="H4" s="26" t="str">
        <x:v>Tham chiếu</x:v>
      </x:c>
      <x:c r="I4" s="26" t="str">
        <x:v>Số dư chạy</x:v>
      </x:c>
      <x:c r="J4" s="13" t="str">
        <x:v>Ghi chú</x:v>
      </x:c>
    </x:row>
    <x:row r="5">
      <x:c r="A5" s="18" t="str">
        <x:v>BQ-26</x:v>
      </x:c>
      <x:c r="B5" s="27" t="n">
        <x:v>46113</x:v>
      </x:c>
      <x:c r="C5" s="18" t="str">
        <x:v>Ngân hàng</x:v>
      </x:c>
      <x:c r="D5" s="18" t="str">
        <x:v>Vốn góp chủ</x:v>
      </x:c>
      <x:c r="E5" s="18" t="str">
        <x:v>Tài chính</x:v>
      </x:c>
      <x:c r="F5" s="30" t="n">
        <x:v>80000000</x:v>
      </x:c>
      <x:c r="G5" s="18" t="str">
        <x:v>Có</x:v>
      </x:c>
      <x:c r="H5" s="18" t="str">
        <x:v>VG-01</x:v>
      </x:c>
      <x:c r="I5" s="30" t="n">
        <x:f>185000000+F5</x:f>
        <x:v>265000000</x:v>
      </x:c>
      <x:c r="J5" s="18" t="str"/>
    </x:row>
    <x:row r="6">
      <x:c r="A6" s="19" t="str">
        <x:v>BQ-1</x:v>
      </x:c>
      <x:c r="B6" s="28" t="n">
        <x:v>46140</x:v>
      </x:c>
      <x:c r="C6" s="19" t="str">
        <x:v>Tiền và ngân hàng</x:v>
      </x:c>
      <x:c r="D6" s="19" t="str">
        <x:v>Thu bán hàng</x:v>
      </x:c>
      <x:c r="E6" s="19" t="str">
        <x:v>Khách hàng</x:v>
      </x:c>
      <x:c r="F6" s="31" t="n">
        <x:v>302540000</x:v>
      </x:c>
      <x:c r="G6" s="19" t="str">
        <x:v>Có</x:v>
      </x:c>
      <x:c r="H6" s="19" t="str">
        <x:v>BH-T4</x:v>
      </x:c>
      <x:c r="I6" s="31" t="n">
        <x:f>I5+F6</x:f>
        <x:v>567540000</x:v>
      </x:c>
      <x:c r="J6" s="19" t="str"/>
    </x:row>
    <x:row r="7">
      <x:c r="A7" s="19" t="str">
        <x:v>BQ-2</x:v>
      </x:c>
      <x:c r="B7" s="28" t="n">
        <x:v>46117</x:v>
      </x:c>
      <x:c r="C7" s="19" t="str">
        <x:v>Tiền và ngân hàng</x:v>
      </x:c>
      <x:c r="D7" s="19" t="str">
        <x:v>Chi hoạt động</x:v>
      </x:c>
      <x:c r="E7" s="19" t="str">
        <x:v>Bột, bơ, sữa</x:v>
      </x:c>
      <x:c r="F7" s="31" t="n">
        <x:v>-8126000</x:v>
      </x:c>
      <x:c r="G7" s="19" t="str">
        <x:v>Có</x:v>
      </x:c>
      <x:c r="H7" s="19" t="str">
        <x:v>BN-001</x:v>
      </x:c>
      <x:c r="I7" s="31" t="n">
        <x:f>I6+F7</x:f>
        <x:v>559414000</x:v>
      </x:c>
      <x:c r="J7" s="19" t="str"/>
    </x:row>
    <x:row r="8">
      <x:c r="A8" s="19" t="str">
        <x:v>BQ-3</x:v>
      </x:c>
      <x:c r="B8" s="28" t="n">
        <x:v>46120</x:v>
      </x:c>
      <x:c r="C8" s="19" t="str">
        <x:v>Tiền và ngân hàng</x:v>
      </x:c>
      <x:c r="D8" s="19" t="str">
        <x:v>Chi hoạt động</x:v>
      </x:c>
      <x:c r="E8" s="19" t="str">
        <x:v>Bao bì</x:v>
      </x:c>
      <x:c r="F8" s="31" t="n">
        <x:v>-2201000</x:v>
      </x:c>
      <x:c r="G8" s="19" t="str">
        <x:v>Có</x:v>
      </x:c>
      <x:c r="H8" s="19" t="str">
        <x:v>BN-002</x:v>
      </x:c>
      <x:c r="I8" s="31" t="n">
        <x:f>I7+F8</x:f>
        <x:v>557213000</x:v>
      </x:c>
      <x:c r="J8" s="19" t="str"/>
    </x:row>
    <x:row r="9">
      <x:c r="A9" s="19" t="str">
        <x:v>BQ-4</x:v>
      </x:c>
      <x:c r="B9" s="28" t="n">
        <x:v>46123</x:v>
      </x:c>
      <x:c r="C9" s="19" t="str">
        <x:v>Tiền và ngân hàng</x:v>
      </x:c>
      <x:c r="D9" s="19" t="str">
        <x:v>Chi hoạt động</x:v>
      </x:c>
      <x:c r="E9" s="19" t="str">
        <x:v>Nhân công</x:v>
      </x:c>
      <x:c r="F9" s="31" t="n">
        <x:v>-38350000</x:v>
      </x:c>
      <x:c r="G9" s="19" t="str">
        <x:v>Có</x:v>
      </x:c>
      <x:c r="H9" s="19" t="str">
        <x:v>BN-003</x:v>
      </x:c>
      <x:c r="I9" s="31" t="n">
        <x:f>I8+F9</x:f>
        <x:v>518863000</x:v>
      </x:c>
      <x:c r="J9" s="19" t="str"/>
    </x:row>
    <x:row r="10">
      <x:c r="A10" s="19" t="str">
        <x:v>BQ-5</x:v>
      </x:c>
      <x:c r="B10" s="28" t="n">
        <x:v>46126</x:v>
      </x:c>
      <x:c r="C10" s="19" t="str">
        <x:v>Tiền và ngân hàng</x:v>
      </x:c>
      <x:c r="D10" s="19" t="str">
        <x:v>Chi hoạt động</x:v>
      </x:c>
      <x:c r="E10" s="19" t="str">
        <x:v>Điện nước</x:v>
      </x:c>
      <x:c r="F10" s="31" t="n">
        <x:v>-6963000</x:v>
      </x:c>
      <x:c r="G10" s="19" t="str">
        <x:v>Có</x:v>
      </x:c>
      <x:c r="H10" s="19" t="str">
        <x:v>BN-004</x:v>
      </x:c>
      <x:c r="I10" s="31" t="n">
        <x:f>I9+F10</x:f>
        <x:v>511900000</x:v>
      </x:c>
      <x:c r="J10" s="19" t="str"/>
    </x:row>
    <x:row r="11">
      <x:c r="A11" s="19" t="str">
        <x:v>BQ-6</x:v>
      </x:c>
      <x:c r="B11" s="28" t="n">
        <x:v>46129</x:v>
      </x:c>
      <x:c r="C11" s="19" t="str">
        <x:v>Tiền và ngân hàng</x:v>
      </x:c>
      <x:c r="D11" s="19" t="str">
        <x:v>Chi hoạt động</x:v>
      </x:c>
      <x:c r="E11" s="19" t="str">
        <x:v>Marketing</x:v>
      </x:c>
      <x:c r="F11" s="31" t="n">
        <x:v>-3794000</x:v>
      </x:c>
      <x:c r="G11" s="19" t="str">
        <x:v>Có</x:v>
      </x:c>
      <x:c r="H11" s="19" t="str">
        <x:v>BN-005</x:v>
      </x:c>
      <x:c r="I11" s="31" t="n">
        <x:f>I10+F11</x:f>
        <x:v>508106000</x:v>
      </x:c>
      <x:c r="J11" s="19" t="str"/>
    </x:row>
    <x:row r="12">
      <x:c r="A12" s="19" t="str">
        <x:v>BQ-7</x:v>
      </x:c>
      <x:c r="B12" s="28" t="n">
        <x:v>46114</x:v>
      </x:c>
      <x:c r="C12" s="19" t="str">
        <x:v>Tiền và ngân hàng</x:v>
      </x:c>
      <x:c r="D12" s="19" t="str">
        <x:v>Chi hoạt động</x:v>
      </x:c>
      <x:c r="E12" s="19" t="str">
        <x:v>Thuê mặt bằng</x:v>
      </x:c>
      <x:c r="F12" s="31" t="n">
        <x:v>-32000000</x:v>
      </x:c>
      <x:c r="G12" s="19" t="str">
        <x:v>Có</x:v>
      </x:c>
      <x:c r="H12" s="19" t="str">
        <x:v>BN-006</x:v>
      </x:c>
      <x:c r="I12" s="31" t="n">
        <x:f>I11+F12</x:f>
        <x:v>476106000</x:v>
      </x:c>
      <x:c r="J12" s="19" t="str"/>
    </x:row>
    <x:row r="13">
      <x:c r="A13" s="19" t="str">
        <x:v>BQ-8</x:v>
      </x:c>
      <x:c r="B13" s="28" t="n">
        <x:v>46127</x:v>
      </x:c>
      <x:c r="C13" s="19" t="str">
        <x:v>Tiền mặt</x:v>
      </x:c>
      <x:c r="D13" s="19" t="str">
        <x:v>Chuyển nội bộ - ra</x:v>
      </x:c>
      <x:c r="E13" s="19" t="str">
        <x:v>Điều chuyển</x:v>
      </x:c>
      <x:c r="F13" s="31" t="n">
        <x:v>-15000000</x:v>
      </x:c>
      <x:c r="G13" s="19" t="str">
        <x:v>Không</x:v>
      </x:c>
      <x:c r="H13" s="19" t="str">
        <x:v>NB-4</x:v>
      </x:c>
      <x:c r="I13" s="31" t="n">
        <x:f>I12+F13</x:f>
        <x:v>461106000</x:v>
      </x:c>
      <x:c r="J13" s="19" t="str">
        <x:v>Hai dòng cùng mã NB phải loại trừ</x:v>
      </x:c>
    </x:row>
    <x:row r="14">
      <x:c r="A14" s="19" t="str">
        <x:v>BQ-9</x:v>
      </x:c>
      <x:c r="B14" s="28" t="n">
        <x:v>46127</x:v>
      </x:c>
      <x:c r="C14" s="19" t="str">
        <x:v>Ngân hàng</x:v>
      </x:c>
      <x:c r="D14" s="19" t="str">
        <x:v>Chuyển nội bộ - vào</x:v>
      </x:c>
      <x:c r="E14" s="19" t="str">
        <x:v>Điều chuyển</x:v>
      </x:c>
      <x:c r="F14" s="31" t="n">
        <x:v>15000000</x:v>
      </x:c>
      <x:c r="G14" s="19" t="str">
        <x:v>Không</x:v>
      </x:c>
      <x:c r="H14" s="19" t="str">
        <x:v>NB-4</x:v>
      </x:c>
      <x:c r="I14" s="31" t="n">
        <x:f>I13+F14</x:f>
        <x:v>476106000</x:v>
      </x:c>
      <x:c r="J14" s="19" t="str">
        <x:v>Hai dòng cùng mã NB phải loại trừ</x:v>
      </x:c>
    </x:row>
    <x:row r="15">
      <x:c r="A15" s="19" t="str">
        <x:v>BQ-10</x:v>
      </x:c>
      <x:c r="B15" s="28" t="n">
        <x:v>46170</x:v>
      </x:c>
      <x:c r="C15" s="19" t="str">
        <x:v>Tiền và ngân hàng</x:v>
      </x:c>
      <x:c r="D15" s="19" t="str">
        <x:v>Thu bán hàng</x:v>
      </x:c>
      <x:c r="E15" s="19" t="str">
        <x:v>Khách hàng</x:v>
      </x:c>
      <x:c r="F15" s="31" t="n">
        <x:v>337841000</x:v>
      </x:c>
      <x:c r="G15" s="19" t="str">
        <x:v>Có</x:v>
      </x:c>
      <x:c r="H15" s="19" t="str">
        <x:v>BH-T5</x:v>
      </x:c>
      <x:c r="I15" s="31" t="n">
        <x:f>I14+F15</x:f>
        <x:v>813947000</x:v>
      </x:c>
      <x:c r="J15" s="19" t="str"/>
    </x:row>
    <x:row r="16">
      <x:c r="A16" s="19" t="str">
        <x:v>BQ-11</x:v>
      </x:c>
      <x:c r="B16" s="28" t="n">
        <x:v>46165</x:v>
      </x:c>
      <x:c r="C16" s="19" t="str">
        <x:v>Tiền và ngân hàng</x:v>
      </x:c>
      <x:c r="D16" s="19" t="str">
        <x:v>Chi hoạt động</x:v>
      </x:c>
      <x:c r="E16" s="19" t="str">
        <x:v>Bột, bơ, sữa</x:v>
      </x:c>
      <x:c r="F16" s="31" t="n">
        <x:v>-8516000</x:v>
      </x:c>
      <x:c r="G16" s="19" t="str">
        <x:v>Có</x:v>
      </x:c>
      <x:c r="H16" s="19" t="str">
        <x:v>BN-007</x:v>
      </x:c>
      <x:c r="I16" s="31" t="n">
        <x:f>I15+F16</x:f>
        <x:v>805431000</x:v>
      </x:c>
      <x:c r="J16" s="19" t="str"/>
    </x:row>
    <x:row r="17">
      <x:c r="A17" s="19" t="str">
        <x:v>BQ-12</x:v>
      </x:c>
      <x:c r="B17" s="28" t="n">
        <x:v>46145</x:v>
      </x:c>
      <x:c r="C17" s="19" t="str">
        <x:v>Tiền và ngân hàng</x:v>
      </x:c>
      <x:c r="D17" s="19" t="str">
        <x:v>Chi hoạt động</x:v>
      </x:c>
      <x:c r="E17" s="19" t="str">
        <x:v>Bao bì</x:v>
      </x:c>
      <x:c r="F17" s="31" t="n">
        <x:v>-2494000</x:v>
      </x:c>
      <x:c r="G17" s="19" t="str">
        <x:v>Có</x:v>
      </x:c>
      <x:c r="H17" s="19" t="str">
        <x:v>BN-008</x:v>
      </x:c>
      <x:c r="I17" s="31" t="n">
        <x:f>I16+F17</x:f>
        <x:v>802937000</x:v>
      </x:c>
      <x:c r="J17" s="19" t="str"/>
    </x:row>
    <x:row r="18">
      <x:c r="A18" s="19" t="str">
        <x:v>BQ-13</x:v>
      </x:c>
      <x:c r="B18" s="28" t="n">
        <x:v>46148</x:v>
      </x:c>
      <x:c r="C18" s="19" t="str">
        <x:v>Tiền và ngân hàng</x:v>
      </x:c>
      <x:c r="D18" s="19" t="str">
        <x:v>Chi hoạt động</x:v>
      </x:c>
      <x:c r="E18" s="19" t="str">
        <x:v>Nhân công</x:v>
      </x:c>
      <x:c r="F18" s="31" t="n">
        <x:v>-41567000</x:v>
      </x:c>
      <x:c r="G18" s="19" t="str">
        <x:v>Có</x:v>
      </x:c>
      <x:c r="H18" s="19" t="str">
        <x:v>BN-009</x:v>
      </x:c>
      <x:c r="I18" s="31" t="n">
        <x:f>I17+F18</x:f>
        <x:v>761370000</x:v>
      </x:c>
      <x:c r="J18" s="19" t="str"/>
    </x:row>
    <x:row r="19">
      <x:c r="A19" s="19" t="str">
        <x:v>BQ-14</x:v>
      </x:c>
      <x:c r="B19" s="28" t="n">
        <x:v>46151</x:v>
      </x:c>
      <x:c r="C19" s="19" t="str">
        <x:v>Tiền và ngân hàng</x:v>
      </x:c>
      <x:c r="D19" s="19" t="str">
        <x:v>Chi hoạt động</x:v>
      </x:c>
      <x:c r="E19" s="19" t="str">
        <x:v>Điện nước</x:v>
      </x:c>
      <x:c r="F19" s="31" t="n">
        <x:v>-6254000</x:v>
      </x:c>
      <x:c r="G19" s="19" t="str">
        <x:v>Có</x:v>
      </x:c>
      <x:c r="H19" s="19" t="str">
        <x:v>BN-010</x:v>
      </x:c>
      <x:c r="I19" s="31" t="n">
        <x:f>I18+F19</x:f>
        <x:v>755116000</x:v>
      </x:c>
      <x:c r="J19" s="19" t="str"/>
    </x:row>
    <x:row r="20">
      <x:c r="A20" s="19" t="str">
        <x:v>BQ-15</x:v>
      </x:c>
      <x:c r="B20" s="28" t="n">
        <x:v>46154</x:v>
      </x:c>
      <x:c r="C20" s="19" t="str">
        <x:v>Tiền và ngân hàng</x:v>
      </x:c>
      <x:c r="D20" s="19" t="str">
        <x:v>Chi hoạt động</x:v>
      </x:c>
      <x:c r="E20" s="19" t="str">
        <x:v>Marketing</x:v>
      </x:c>
      <x:c r="F20" s="31" t="n">
        <x:v>-3849000</x:v>
      </x:c>
      <x:c r="G20" s="19" t="str">
        <x:v>Có</x:v>
      </x:c>
      <x:c r="H20" s="19" t="str">
        <x:v>BN-011</x:v>
      </x:c>
      <x:c r="I20" s="31" t="n">
        <x:f>I19+F20</x:f>
        <x:v>751267000</x:v>
      </x:c>
      <x:c r="J20" s="19" t="str"/>
    </x:row>
    <x:row r="21">
      <x:c r="A21" s="19" t="str">
        <x:v>BQ-16</x:v>
      </x:c>
      <x:c r="B21" s="28" t="n">
        <x:v>46144</x:v>
      </x:c>
      <x:c r="C21" s="19" t="str">
        <x:v>Tiền và ngân hàng</x:v>
      </x:c>
      <x:c r="D21" s="19" t="str">
        <x:v>Chi hoạt động</x:v>
      </x:c>
      <x:c r="E21" s="19" t="str">
        <x:v>Thuê mặt bằng</x:v>
      </x:c>
      <x:c r="F21" s="31" t="n">
        <x:v>-32000000</x:v>
      </x:c>
      <x:c r="G21" s="19" t="str">
        <x:v>Có</x:v>
      </x:c>
      <x:c r="H21" s="19" t="str">
        <x:v>BN-012</x:v>
      </x:c>
      <x:c r="I21" s="31" t="n">
        <x:f>I20+F21</x:f>
        <x:v>719267000</x:v>
      </x:c>
      <x:c r="J21" s="19" t="str"/>
    </x:row>
    <x:row r="22">
      <x:c r="A22" s="19" t="str">
        <x:v>BQ-17</x:v>
      </x:c>
      <x:c r="B22" s="28" t="n">
        <x:v>46157</x:v>
      </x:c>
      <x:c r="C22" s="19" t="str">
        <x:v>Tiền mặt</x:v>
      </x:c>
      <x:c r="D22" s="19" t="str">
        <x:v>Chuyển nội bộ - ra</x:v>
      </x:c>
      <x:c r="E22" s="19" t="str">
        <x:v>Điều chuyển</x:v>
      </x:c>
      <x:c r="F22" s="31" t="n">
        <x:v>-15000000</x:v>
      </x:c>
      <x:c r="G22" s="19" t="str">
        <x:v>Không</x:v>
      </x:c>
      <x:c r="H22" s="19" t="str">
        <x:v>NB-5</x:v>
      </x:c>
      <x:c r="I22" s="31" t="n">
        <x:f>I21+F22</x:f>
        <x:v>704267000</x:v>
      </x:c>
      <x:c r="J22" s="19" t="str">
        <x:v>Hai dòng cùng mã NB phải loại trừ</x:v>
      </x:c>
    </x:row>
    <x:row r="23">
      <x:c r="A23" s="19" t="str">
        <x:v>BQ-18</x:v>
      </x:c>
      <x:c r="B23" s="28" t="n">
        <x:v>46157</x:v>
      </x:c>
      <x:c r="C23" s="19" t="str">
        <x:v>Ngân hàng</x:v>
      </x:c>
      <x:c r="D23" s="19" t="str">
        <x:v>Chuyển nội bộ - vào</x:v>
      </x:c>
      <x:c r="E23" s="19" t="str">
        <x:v>Điều chuyển</x:v>
      </x:c>
      <x:c r="F23" s="31" t="n">
        <x:v>15000000</x:v>
      </x:c>
      <x:c r="G23" s="19" t="str">
        <x:v>Không</x:v>
      </x:c>
      <x:c r="H23" s="19" t="str">
        <x:v>NB-5</x:v>
      </x:c>
      <x:c r="I23" s="31" t="n">
        <x:f>I22+F23</x:f>
        <x:v>719267000</x:v>
      </x:c>
      <x:c r="J23" s="19" t="str">
        <x:v>Hai dòng cùng mã NB phải loại trừ</x:v>
      </x:c>
    </x:row>
    <x:row r="24">
      <x:c r="A24" s="19" t="str">
        <x:v>BQ-19</x:v>
      </x:c>
      <x:c r="B24" s="28" t="n">
        <x:v>46201</x:v>
      </x:c>
      <x:c r="C24" s="19" t="str">
        <x:v>Tiền và ngân hàng</x:v>
      </x:c>
      <x:c r="D24" s="19" t="str">
        <x:v>Thu bán hàng</x:v>
      </x:c>
      <x:c r="E24" s="19" t="str">
        <x:v>Khách hàng</x:v>
      </x:c>
      <x:c r="F24" s="31" t="n">
        <x:v>332037000</x:v>
      </x:c>
      <x:c r="G24" s="19" t="str">
        <x:v>Có</x:v>
      </x:c>
      <x:c r="H24" s="19" t="str">
        <x:v>BH-T6</x:v>
      </x:c>
      <x:c r="I24" s="31" t="n">
        <x:f>I23+F24</x:f>
        <x:v>1051304000</x:v>
      </x:c>
      <x:c r="J24" s="19" t="str"/>
    </x:row>
    <x:row r="25">
      <x:c r="A25" s="19" t="str">
        <x:v>BQ-20</x:v>
      </x:c>
      <x:c r="B25" s="28" t="n">
        <x:v>46197</x:v>
      </x:c>
      <x:c r="C25" s="19" t="str">
        <x:v>Tiền và ngân hàng</x:v>
      </x:c>
      <x:c r="D25" s="19" t="str">
        <x:v>Chi hoạt động</x:v>
      </x:c>
      <x:c r="E25" s="19" t="str">
        <x:v>Nhân công</x:v>
      </x:c>
      <x:c r="F25" s="31" t="n">
        <x:v>-39563000</x:v>
      </x:c>
      <x:c r="G25" s="19" t="str">
        <x:v>Có</x:v>
      </x:c>
      <x:c r="H25" s="19" t="str">
        <x:v>BN-015</x:v>
      </x:c>
      <x:c r="I25" s="31" t="n">
        <x:f>I24+F25</x:f>
        <x:v>1011741000</x:v>
      </x:c>
      <x:c r="J25" s="19" t="str"/>
    </x:row>
    <x:row r="26">
      <x:c r="A26" s="19" t="str">
        <x:v>BQ-21</x:v>
      </x:c>
      <x:c r="B26" s="28" t="n">
        <x:v>46177</x:v>
      </x:c>
      <x:c r="C26" s="19" t="str">
        <x:v>Tiền và ngân hàng</x:v>
      </x:c>
      <x:c r="D26" s="19" t="str">
        <x:v>Chi hoạt động</x:v>
      </x:c>
      <x:c r="E26" s="19" t="str">
        <x:v>Điện nước</x:v>
      </x:c>
      <x:c r="F26" s="31" t="n">
        <x:v>-6532000</x:v>
      </x:c>
      <x:c r="G26" s="19" t="str">
        <x:v>Có</x:v>
      </x:c>
      <x:c r="H26" s="19" t="str">
        <x:v>BN-016</x:v>
      </x:c>
      <x:c r="I26" s="31" t="n">
        <x:f>I25+F26</x:f>
        <x:v>1005209000</x:v>
      </x:c>
      <x:c r="J26" s="19" t="str"/>
    </x:row>
    <x:row r="27">
      <x:c r="A27" s="19" t="str">
        <x:v>BQ-22</x:v>
      </x:c>
      <x:c r="B27" s="28" t="n">
        <x:v>46180</x:v>
      </x:c>
      <x:c r="C27" s="19" t="str">
        <x:v>Tiền và ngân hàng</x:v>
      </x:c>
      <x:c r="D27" s="19" t="str">
        <x:v>Chi hoạt động</x:v>
      </x:c>
      <x:c r="E27" s="19" t="str">
        <x:v>Marketing</x:v>
      </x:c>
      <x:c r="F27" s="31" t="n">
        <x:v>-4096000</x:v>
      </x:c>
      <x:c r="G27" s="19" t="str">
        <x:v>Có</x:v>
      </x:c>
      <x:c r="H27" s="19" t="str">
        <x:v>BN-017</x:v>
      </x:c>
      <x:c r="I27" s="31" t="n">
        <x:f>I26+F27</x:f>
        <x:v>1001113000</x:v>
      </x:c>
      <x:c r="J27" s="19" t="str"/>
    </x:row>
    <x:row r="28">
      <x:c r="A28" s="19" t="str">
        <x:v>BQ-23</x:v>
      </x:c>
      <x:c r="B28" s="28" t="n">
        <x:v>46175</x:v>
      </x:c>
      <x:c r="C28" s="19" t="str">
        <x:v>Tiền và ngân hàng</x:v>
      </x:c>
      <x:c r="D28" s="19" t="str">
        <x:v>Chi hoạt động</x:v>
      </x:c>
      <x:c r="E28" s="19" t="str">
        <x:v>Thuê mặt bằng</x:v>
      </x:c>
      <x:c r="F28" s="31" t="n">
        <x:v>-32000000</x:v>
      </x:c>
      <x:c r="G28" s="19" t="str">
        <x:v>Có</x:v>
      </x:c>
      <x:c r="H28" s="19" t="str">
        <x:v>BN-018</x:v>
      </x:c>
      <x:c r="I28" s="31" t="n">
        <x:f>I27+F28</x:f>
        <x:v>969113000</x:v>
      </x:c>
      <x:c r="J28" s="19" t="str"/>
    </x:row>
    <x:row r="29">
      <x:c r="A29" s="19" t="str">
        <x:v>BQ-24</x:v>
      </x:c>
      <x:c r="B29" s="28" t="n">
        <x:v>46188</x:v>
      </x:c>
      <x:c r="C29" s="19" t="str">
        <x:v>Tiền mặt</x:v>
      </x:c>
      <x:c r="D29" s="19" t="str">
        <x:v>Chuyển nội bộ - ra</x:v>
      </x:c>
      <x:c r="E29" s="19" t="str">
        <x:v>Điều chuyển</x:v>
      </x:c>
      <x:c r="F29" s="31" t="n">
        <x:v>-15000000</x:v>
      </x:c>
      <x:c r="G29" s="19" t="str">
        <x:v>Không</x:v>
      </x:c>
      <x:c r="H29" s="19" t="str">
        <x:v>NB-6</x:v>
      </x:c>
      <x:c r="I29" s="31" t="n">
        <x:f>I28+F29</x:f>
        <x:v>954113000</x:v>
      </x:c>
      <x:c r="J29" s="19" t="str">
        <x:v>Hai dòng cùng mã NB phải loại trừ</x:v>
      </x:c>
    </x:row>
    <x:row r="30">
      <x:c r="A30" s="20" t="str">
        <x:v>BQ-25</x:v>
      </x:c>
      <x:c r="B30" s="29" t="n">
        <x:v>46188</x:v>
      </x:c>
      <x:c r="C30" s="20" t="str">
        <x:v>Ngân hàng</x:v>
      </x:c>
      <x:c r="D30" s="20" t="str">
        <x:v>Chuyển nội bộ - vào</x:v>
      </x:c>
      <x:c r="E30" s="20" t="str">
        <x:v>Điều chuyển</x:v>
      </x:c>
      <x:c r="F30" s="32" t="n">
        <x:v>15000000</x:v>
      </x:c>
      <x:c r="G30" s="20" t="str">
        <x:v>Không</x:v>
      </x:c>
      <x:c r="H30" s="20" t="str">
        <x:v>NB-6</x:v>
      </x:c>
      <x:c r="I30" s="32" t="n">
        <x:f>I29+F30</x:f>
        <x:v>969113000</x:v>
      </x:c>
      <x:c r="J30" s="20" t="str">
        <x:v>Hai dòng cùng mã NB phải loại trừ</x:v>
      </x:c>
    </x:row>
  </x:sheetData>
  <x:mergeCells>
    <x:mergeCell ref="A1:J1"/>
    <x:mergeCell ref="A2:J2"/>
  </x:mergeCells>
  <x:pageMargins left="0.7" right="0.7" top="0.75" bottom="0.75" header="0.3" footer="0.3"/>
</x:worksheet>
</file>